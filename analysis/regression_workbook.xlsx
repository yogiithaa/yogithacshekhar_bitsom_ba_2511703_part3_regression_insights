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ENOVO\Desktop\BITS_DOCS\capstone\business_analytics_assignment_datasets\part3\analysis\"/>
    </mc:Choice>
  </mc:AlternateContent>
  <xr:revisionPtr revIDLastSave="0" documentId="13_ncr:1_{53D075E6-3776-45A4-B640-AAC6F4BDC732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cleaned data" sheetId="3" r:id="rId1"/>
    <sheet name="Predictions" sheetId="9" r:id="rId2"/>
    <sheet name="store_performance" sheetId="1" r:id="rId3"/>
    <sheet name="Multiple Regression Model" sheetId="7" r:id="rId4"/>
    <sheet name="Simple regression outputs 1" sheetId="4" r:id="rId5"/>
    <sheet name="Simple Regression Model 2" sheetId="5" r:id="rId6"/>
    <sheet name="data_dictionary" sheetId="2" r:id="rId7"/>
  </sheets>
  <calcPr calcId="179021"/>
</workbook>
</file>

<file path=xl/calcChain.xml><?xml version="1.0" encoding="utf-8"?>
<calcChain xmlns="http://schemas.openxmlformats.org/spreadsheetml/2006/main">
  <c r="L308" i="9" l="1"/>
  <c r="M308" i="9" s="1"/>
  <c r="L313" i="9"/>
  <c r="M313" i="9" s="1"/>
  <c r="L318" i="9"/>
  <c r="M318" i="9" s="1"/>
  <c r="L286" i="9"/>
  <c r="M286" i="9" s="1"/>
  <c r="L244" i="9"/>
  <c r="M244" i="9" s="1"/>
  <c r="L127" i="9"/>
  <c r="M127" i="9" s="1"/>
  <c r="L26" i="9"/>
  <c r="M26" i="9" s="1"/>
  <c r="L15" i="9"/>
  <c r="M15" i="9" s="1"/>
  <c r="L177" i="9"/>
  <c r="M177" i="9" s="1"/>
  <c r="L232" i="9"/>
  <c r="M232" i="9" s="1"/>
  <c r="L27" i="9"/>
  <c r="M27" i="9" s="1"/>
  <c r="L82" i="9"/>
  <c r="M82" i="9" s="1"/>
  <c r="L291" i="9"/>
  <c r="M291" i="9" s="1"/>
  <c r="L230" i="9"/>
  <c r="M230" i="9" s="1"/>
  <c r="L112" i="9"/>
  <c r="M112" i="9" s="1"/>
  <c r="L234" i="9"/>
  <c r="M234" i="9" s="1"/>
  <c r="L249" i="9"/>
  <c r="M249" i="9" s="1"/>
  <c r="L239" i="9"/>
  <c r="M239" i="9" s="1"/>
  <c r="L211" i="9"/>
  <c r="M211" i="9" s="1"/>
  <c r="L315" i="9"/>
  <c r="M315" i="9" s="1"/>
  <c r="L202" i="9"/>
  <c r="M202" i="9" s="1"/>
  <c r="L105" i="9"/>
  <c r="M105" i="9" s="1"/>
  <c r="L155" i="9"/>
  <c r="M155" i="9" s="1"/>
  <c r="L206" i="9"/>
  <c r="M206" i="9" s="1"/>
  <c r="L314" i="9"/>
  <c r="M314" i="9" s="1"/>
  <c r="L158" i="9"/>
  <c r="M158" i="9" s="1"/>
  <c r="L116" i="9"/>
  <c r="M116" i="9" s="1"/>
  <c r="L310" i="9"/>
  <c r="M310" i="9" s="1"/>
  <c r="L187" i="9"/>
  <c r="M187" i="9" s="1"/>
  <c r="L243" i="9"/>
  <c r="M243" i="9" s="1"/>
  <c r="L307" i="9"/>
  <c r="M307" i="9" s="1"/>
  <c r="L319" i="9"/>
  <c r="M319" i="9" s="1"/>
  <c r="L295" i="9"/>
  <c r="M295" i="9" s="1"/>
  <c r="L200" i="9"/>
  <c r="M200" i="9" s="1"/>
  <c r="L261" i="9"/>
  <c r="M261" i="9" s="1"/>
  <c r="L39" i="9"/>
  <c r="M39" i="9" s="1"/>
  <c r="L257" i="9"/>
  <c r="M257" i="9" s="1"/>
  <c r="L182" i="9"/>
  <c r="M182" i="9" s="1"/>
  <c r="L136" i="9"/>
  <c r="M136" i="9" s="1"/>
  <c r="L130" i="9"/>
  <c r="M130" i="9" s="1"/>
  <c r="L119" i="9"/>
  <c r="M119" i="9" s="1"/>
  <c r="L22" i="9"/>
  <c r="M22" i="9" s="1"/>
  <c r="L115" i="9"/>
  <c r="M115" i="9" s="1"/>
  <c r="L320" i="9"/>
  <c r="M320" i="9" s="1"/>
  <c r="L275" i="9"/>
  <c r="M275" i="9" s="1"/>
  <c r="L87" i="9"/>
  <c r="M87" i="9" s="1"/>
  <c r="L135" i="9"/>
  <c r="M135" i="9" s="1"/>
  <c r="L238" i="9"/>
  <c r="M238" i="9" s="1"/>
  <c r="L120" i="9"/>
  <c r="M120" i="9" s="1"/>
  <c r="L94" i="9"/>
  <c r="M94" i="9" s="1"/>
  <c r="L54" i="9"/>
  <c r="M54" i="9" s="1"/>
  <c r="L312" i="9"/>
  <c r="M312" i="9" s="1"/>
  <c r="L68" i="9"/>
  <c r="M68" i="9" s="1"/>
  <c r="L50" i="9"/>
  <c r="M50" i="9" s="1"/>
  <c r="L260" i="9"/>
  <c r="M260" i="9" s="1"/>
  <c r="L141" i="9"/>
  <c r="M141" i="9" s="1"/>
  <c r="L203" i="9"/>
  <c r="M203" i="9" s="1"/>
  <c r="L277" i="9"/>
  <c r="M277" i="9" s="1"/>
  <c r="L281" i="9"/>
  <c r="M281" i="9" s="1"/>
  <c r="L24" i="9"/>
  <c r="M24" i="9" s="1"/>
  <c r="L41" i="9"/>
  <c r="M41" i="9" s="1"/>
  <c r="L196" i="9"/>
  <c r="M196" i="9" s="1"/>
  <c r="L43" i="9"/>
  <c r="M43" i="9" s="1"/>
  <c r="L233" i="9"/>
  <c r="M233" i="9" s="1"/>
  <c r="L223" i="9"/>
  <c r="M223" i="9" s="1"/>
  <c r="L321" i="9"/>
  <c r="M321" i="9" s="1"/>
  <c r="L134" i="9"/>
  <c r="M134" i="9" s="1"/>
  <c r="L31" i="9"/>
  <c r="M31" i="9" s="1"/>
  <c r="L254" i="9"/>
  <c r="M254" i="9" s="1"/>
  <c r="L148" i="9"/>
  <c r="M148" i="9" s="1"/>
  <c r="L75" i="9"/>
  <c r="M75" i="9" s="1"/>
  <c r="L176" i="9"/>
  <c r="M176" i="9" s="1"/>
  <c r="L300" i="9"/>
  <c r="M300" i="9" s="1"/>
  <c r="L23" i="9"/>
  <c r="M23" i="9" s="1"/>
  <c r="L283" i="9"/>
  <c r="M283" i="9" s="1"/>
  <c r="L199" i="9"/>
  <c r="M199" i="9" s="1"/>
  <c r="L61" i="9"/>
  <c r="M61" i="9" s="1"/>
  <c r="L42" i="9"/>
  <c r="M42" i="9" s="1"/>
  <c r="L246" i="9"/>
  <c r="M246" i="9" s="1"/>
  <c r="L208" i="9"/>
  <c r="M208" i="9" s="1"/>
  <c r="L30" i="9"/>
  <c r="M30" i="9" s="1"/>
  <c r="L8" i="9"/>
  <c r="M8" i="9" s="1"/>
  <c r="L88" i="9"/>
  <c r="M88" i="9" s="1"/>
  <c r="L101" i="9"/>
  <c r="M101" i="9" s="1"/>
  <c r="L248" i="9"/>
  <c r="M248" i="9" s="1"/>
  <c r="L156" i="9"/>
  <c r="M156" i="9" s="1"/>
  <c r="L164" i="9"/>
  <c r="M164" i="9" s="1"/>
  <c r="L48" i="9"/>
  <c r="M48" i="9" s="1"/>
  <c r="L317" i="9"/>
  <c r="M317" i="9" s="1"/>
  <c r="L64" i="9"/>
  <c r="M64" i="9" s="1"/>
  <c r="L59" i="9"/>
  <c r="M59" i="9" s="1"/>
  <c r="L205" i="9"/>
  <c r="M205" i="9" s="1"/>
  <c r="L38" i="9"/>
  <c r="M38" i="9" s="1"/>
  <c r="L29" i="9"/>
  <c r="M29" i="9" s="1"/>
  <c r="L218" i="9"/>
  <c r="M218" i="9" s="1"/>
  <c r="L149" i="9"/>
  <c r="M149" i="9" s="1"/>
  <c r="L13" i="9"/>
  <c r="M13" i="9" s="1"/>
  <c r="L140" i="9"/>
  <c r="M140" i="9" s="1"/>
  <c r="L80" i="9"/>
  <c r="M80" i="9" s="1"/>
  <c r="L45" i="9"/>
  <c r="M45" i="9" s="1"/>
  <c r="L253" i="9"/>
  <c r="M253" i="9" s="1"/>
  <c r="L77" i="9"/>
  <c r="M77" i="9" s="1"/>
  <c r="L3" i="9"/>
  <c r="M3" i="9" s="1"/>
  <c r="L72" i="9"/>
  <c r="M72" i="9" s="1"/>
  <c r="L167" i="9"/>
  <c r="M167" i="9" s="1"/>
  <c r="L20" i="9"/>
  <c r="M20" i="9" s="1"/>
  <c r="L162" i="9"/>
  <c r="M162" i="9" s="1"/>
  <c r="L73" i="9"/>
  <c r="M73" i="9" s="1"/>
  <c r="L129" i="9"/>
  <c r="M129" i="9" s="1"/>
  <c r="L216" i="9"/>
  <c r="M216" i="9" s="1"/>
  <c r="L2" i="9"/>
  <c r="M2" i="9" s="1"/>
  <c r="L57" i="9"/>
  <c r="M57" i="9" s="1"/>
  <c r="L46" i="9"/>
  <c r="M46" i="9" s="1"/>
  <c r="L272" i="9"/>
  <c r="M272" i="9" s="1"/>
  <c r="L245" i="9"/>
  <c r="M245" i="9" s="1"/>
  <c r="L165" i="9"/>
  <c r="M165" i="9" s="1"/>
  <c r="L10" i="9"/>
  <c r="M10" i="9" s="1"/>
  <c r="L298" i="9"/>
  <c r="M298" i="9" s="1"/>
  <c r="L183" i="9"/>
  <c r="M183" i="9" s="1"/>
  <c r="L282" i="9"/>
  <c r="M282" i="9" s="1"/>
  <c r="L70" i="9"/>
  <c r="M70" i="9" s="1"/>
  <c r="L255" i="9"/>
  <c r="M255" i="9" s="1"/>
  <c r="L292" i="9"/>
  <c r="M292" i="9" s="1"/>
  <c r="L5" i="9"/>
  <c r="M5" i="9" s="1"/>
  <c r="L181" i="9"/>
  <c r="M181" i="9" s="1"/>
  <c r="L34" i="9"/>
  <c r="M34" i="9" s="1"/>
  <c r="L154" i="9"/>
  <c r="M154" i="9" s="1"/>
  <c r="L103" i="9"/>
  <c r="M103" i="9" s="1"/>
  <c r="L194" i="9"/>
  <c r="M194" i="9" s="1"/>
  <c r="L297" i="9"/>
  <c r="M297" i="9" s="1"/>
  <c r="L220" i="9"/>
  <c r="M220" i="9" s="1"/>
  <c r="L280" i="9"/>
  <c r="M280" i="9" s="1"/>
  <c r="L287" i="9"/>
  <c r="M287" i="9" s="1"/>
  <c r="L174" i="9"/>
  <c r="M174" i="9" s="1"/>
  <c r="L221" i="9"/>
  <c r="M221" i="9" s="1"/>
  <c r="L305" i="9"/>
  <c r="M305" i="9" s="1"/>
  <c r="L85" i="9"/>
  <c r="M85" i="9" s="1"/>
  <c r="L36" i="9"/>
  <c r="M36" i="9" s="1"/>
  <c r="L122" i="9"/>
  <c r="M122" i="9" s="1"/>
  <c r="L56" i="9"/>
  <c r="M56" i="9" s="1"/>
  <c r="L91" i="9"/>
  <c r="M91" i="9" s="1"/>
  <c r="L49" i="9"/>
  <c r="M49" i="9" s="1"/>
  <c r="L98" i="9"/>
  <c r="M98" i="9" s="1"/>
  <c r="L279" i="9"/>
  <c r="M279" i="9" s="1"/>
  <c r="L259" i="9"/>
  <c r="M259" i="9" s="1"/>
  <c r="L207" i="9"/>
  <c r="M207" i="9" s="1"/>
  <c r="L190" i="9"/>
  <c r="M190" i="9" s="1"/>
  <c r="L228" i="9"/>
  <c r="M228" i="9" s="1"/>
  <c r="L106" i="9"/>
  <c r="M106" i="9" s="1"/>
  <c r="L60" i="9"/>
  <c r="M60" i="9" s="1"/>
  <c r="L79" i="9"/>
  <c r="M79" i="9" s="1"/>
  <c r="L235" i="9"/>
  <c r="M235" i="9" s="1"/>
  <c r="L138" i="9"/>
  <c r="M138" i="9" s="1"/>
  <c r="L274" i="9"/>
  <c r="M274" i="9" s="1"/>
  <c r="L180" i="9"/>
  <c r="M180" i="9" s="1"/>
  <c r="L173" i="9"/>
  <c r="M173" i="9" s="1"/>
  <c r="L250" i="9"/>
  <c r="M250" i="9" s="1"/>
  <c r="L25" i="9"/>
  <c r="M25" i="9" s="1"/>
  <c r="L35" i="9"/>
  <c r="M35" i="9" s="1"/>
  <c r="L276" i="9"/>
  <c r="M276" i="9" s="1"/>
  <c r="L11" i="9"/>
  <c r="M11" i="9" s="1"/>
  <c r="L195" i="9"/>
  <c r="M195" i="9" s="1"/>
  <c r="L159" i="9"/>
  <c r="M159" i="9" s="1"/>
  <c r="L47" i="9"/>
  <c r="M47" i="9" s="1"/>
  <c r="L227" i="9"/>
  <c r="M227" i="9" s="1"/>
  <c r="L169" i="9"/>
  <c r="M169" i="9" s="1"/>
  <c r="L117" i="9"/>
  <c r="M117" i="9" s="1"/>
  <c r="L264" i="9"/>
  <c r="M264" i="9" s="1"/>
  <c r="L306" i="9"/>
  <c r="M306" i="9" s="1"/>
  <c r="L93" i="9"/>
  <c r="M93" i="9" s="1"/>
  <c r="L231" i="9"/>
  <c r="M231" i="9" s="1"/>
  <c r="L166" i="9"/>
  <c r="M166" i="9" s="1"/>
  <c r="L271" i="9"/>
  <c r="M271" i="9" s="1"/>
  <c r="L256" i="9"/>
  <c r="M256" i="9" s="1"/>
  <c r="L247" i="9"/>
  <c r="M247" i="9" s="1"/>
  <c r="L84" i="9"/>
  <c r="M84" i="9" s="1"/>
  <c r="L14" i="9"/>
  <c r="M14" i="9" s="1"/>
  <c r="L52" i="9"/>
  <c r="M52" i="9" s="1"/>
  <c r="L19" i="9"/>
  <c r="M19" i="9" s="1"/>
  <c r="L152" i="9"/>
  <c r="M152" i="9" s="1"/>
  <c r="L170" i="9"/>
  <c r="M170" i="9" s="1"/>
  <c r="L179" i="9"/>
  <c r="M179" i="9" s="1"/>
  <c r="L193" i="9"/>
  <c r="M193" i="9" s="1"/>
  <c r="L217" i="9"/>
  <c r="M217" i="9" s="1"/>
  <c r="L100" i="9"/>
  <c r="M100" i="9" s="1"/>
  <c r="L28" i="9"/>
  <c r="M28" i="9" s="1"/>
  <c r="L146" i="9"/>
  <c r="M146" i="9" s="1"/>
  <c r="L69" i="9"/>
  <c r="M69" i="9" s="1"/>
  <c r="L137" i="9"/>
  <c r="M137" i="9" s="1"/>
  <c r="L242" i="9"/>
  <c r="M242" i="9" s="1"/>
  <c r="L285" i="9"/>
  <c r="M285" i="9" s="1"/>
  <c r="L284" i="9"/>
  <c r="M284" i="9" s="1"/>
  <c r="L215" i="9"/>
  <c r="M215" i="9" s="1"/>
  <c r="L171" i="9"/>
  <c r="M171" i="9" s="1"/>
  <c r="L311" i="9"/>
  <c r="M311" i="9" s="1"/>
  <c r="L58" i="9"/>
  <c r="M58" i="9" s="1"/>
  <c r="L258" i="9"/>
  <c r="M258" i="9" s="1"/>
  <c r="L266" i="9"/>
  <c r="M266" i="9" s="1"/>
  <c r="L17" i="9"/>
  <c r="M17" i="9" s="1"/>
  <c r="L192" i="9"/>
  <c r="M192" i="9" s="1"/>
  <c r="L4" i="9"/>
  <c r="M4" i="9" s="1"/>
  <c r="L263" i="9"/>
  <c r="M263" i="9" s="1"/>
  <c r="L236" i="9"/>
  <c r="M236" i="9" s="1"/>
  <c r="L210" i="9"/>
  <c r="M210" i="9" s="1"/>
  <c r="L37" i="9"/>
  <c r="M37" i="9" s="1"/>
  <c r="L294" i="9"/>
  <c r="M294" i="9" s="1"/>
  <c r="L301" i="9"/>
  <c r="M301" i="9" s="1"/>
  <c r="L143" i="9"/>
  <c r="M143" i="9" s="1"/>
  <c r="L309" i="9"/>
  <c r="M309" i="9" s="1"/>
  <c r="L226" i="9"/>
  <c r="M226" i="9" s="1"/>
  <c r="L213" i="9"/>
  <c r="M213" i="9" s="1"/>
  <c r="L71" i="9"/>
  <c r="M71" i="9" s="1"/>
  <c r="L65" i="9"/>
  <c r="M65" i="9" s="1"/>
  <c r="L184" i="9"/>
  <c r="M184" i="9" s="1"/>
  <c r="L132" i="9"/>
  <c r="M132" i="9" s="1"/>
  <c r="L74" i="9"/>
  <c r="M74" i="9" s="1"/>
  <c r="L144" i="9"/>
  <c r="M144" i="9" s="1"/>
  <c r="L40" i="9"/>
  <c r="M40" i="9" s="1"/>
  <c r="L114" i="9"/>
  <c r="M114" i="9" s="1"/>
  <c r="L145" i="9"/>
  <c r="M145" i="9" s="1"/>
  <c r="L185" i="9"/>
  <c r="M185" i="9" s="1"/>
  <c r="L198" i="9"/>
  <c r="M198" i="9" s="1"/>
  <c r="L267" i="9"/>
  <c r="M267" i="9" s="1"/>
  <c r="L92" i="9"/>
  <c r="M92" i="9" s="1"/>
  <c r="L139" i="9"/>
  <c r="M139" i="9" s="1"/>
  <c r="L251" i="9"/>
  <c r="M251" i="9" s="1"/>
  <c r="L89" i="9"/>
  <c r="M89" i="9" s="1"/>
  <c r="L289" i="9"/>
  <c r="M289" i="9" s="1"/>
  <c r="L51" i="9"/>
  <c r="M51" i="9" s="1"/>
  <c r="L270" i="9"/>
  <c r="M270" i="9" s="1"/>
  <c r="L102" i="9"/>
  <c r="M102" i="9" s="1"/>
  <c r="L53" i="9"/>
  <c r="M53" i="9" s="1"/>
  <c r="L18" i="9"/>
  <c r="M18" i="9" s="1"/>
  <c r="L128" i="9"/>
  <c r="M128" i="9" s="1"/>
  <c r="L150" i="9"/>
  <c r="M150" i="9" s="1"/>
  <c r="L293" i="9"/>
  <c r="M293" i="9" s="1"/>
  <c r="L188" i="9"/>
  <c r="M188" i="9" s="1"/>
  <c r="L186" i="9"/>
  <c r="M186" i="9" s="1"/>
  <c r="L124" i="9"/>
  <c r="M124" i="9" s="1"/>
  <c r="L66" i="9"/>
  <c r="M66" i="9" s="1"/>
  <c r="L63" i="9"/>
  <c r="M63" i="9" s="1"/>
  <c r="L99" i="9"/>
  <c r="M99" i="9" s="1"/>
  <c r="L107" i="9"/>
  <c r="M107" i="9" s="1"/>
  <c r="L131" i="9"/>
  <c r="M131" i="9" s="1"/>
  <c r="L153" i="9"/>
  <c r="M153" i="9" s="1"/>
  <c r="L265" i="9"/>
  <c r="M265" i="9" s="1"/>
  <c r="L224" i="9"/>
  <c r="M224" i="9" s="1"/>
  <c r="L118" i="9"/>
  <c r="M118" i="9" s="1"/>
  <c r="L204" i="9"/>
  <c r="M204" i="9" s="1"/>
  <c r="L175" i="9"/>
  <c r="M175" i="9" s="1"/>
  <c r="L110" i="9"/>
  <c r="M110" i="9" s="1"/>
  <c r="L109" i="9"/>
  <c r="M109" i="9" s="1"/>
  <c r="L6" i="9"/>
  <c r="M6" i="9" s="1"/>
  <c r="L44" i="9"/>
  <c r="M44" i="9" s="1"/>
  <c r="L225" i="9"/>
  <c r="M225" i="9" s="1"/>
  <c r="L7" i="9"/>
  <c r="M7" i="9" s="1"/>
  <c r="L81" i="9"/>
  <c r="M81" i="9" s="1"/>
  <c r="L123" i="9"/>
  <c r="M123" i="9" s="1"/>
  <c r="L32" i="9"/>
  <c r="M32" i="9" s="1"/>
  <c r="L125" i="9"/>
  <c r="M125" i="9" s="1"/>
  <c r="L147" i="9"/>
  <c r="M147" i="9" s="1"/>
  <c r="L21" i="9"/>
  <c r="M21" i="9" s="1"/>
  <c r="L95" i="9"/>
  <c r="M95" i="9" s="1"/>
  <c r="L237" i="9"/>
  <c r="M237" i="9" s="1"/>
  <c r="L96" i="9"/>
  <c r="M96" i="9" s="1"/>
  <c r="L108" i="9"/>
  <c r="M108" i="9" s="1"/>
  <c r="L78" i="9"/>
  <c r="M78" i="9" s="1"/>
  <c r="L304" i="9"/>
  <c r="M304" i="9" s="1"/>
  <c r="L55" i="9"/>
  <c r="M55" i="9" s="1"/>
  <c r="L189" i="9"/>
  <c r="M189" i="9" s="1"/>
  <c r="L303" i="9"/>
  <c r="M303" i="9" s="1"/>
  <c r="L133" i="9"/>
  <c r="M133" i="9" s="1"/>
  <c r="L67" i="9"/>
  <c r="M67" i="9" s="1"/>
  <c r="L201" i="9"/>
  <c r="M201" i="9" s="1"/>
  <c r="L16" i="9"/>
  <c r="M16" i="9" s="1"/>
  <c r="L302" i="9"/>
  <c r="M302" i="9" s="1"/>
  <c r="L83" i="9"/>
  <c r="M83" i="9" s="1"/>
  <c r="L172" i="9"/>
  <c r="M172" i="9" s="1"/>
  <c r="L229" i="9"/>
  <c r="M229" i="9" s="1"/>
  <c r="L268" i="9"/>
  <c r="M268" i="9" s="1"/>
  <c r="L241" i="9"/>
  <c r="M241" i="9" s="1"/>
  <c r="L86" i="9"/>
  <c r="M86" i="9" s="1"/>
  <c r="L151" i="9"/>
  <c r="M151" i="9" s="1"/>
  <c r="L191" i="9"/>
  <c r="M191" i="9" s="1"/>
  <c r="L178" i="9"/>
  <c r="M178" i="9" s="1"/>
  <c r="L157" i="9"/>
  <c r="M157" i="9" s="1"/>
  <c r="L212" i="9"/>
  <c r="M212" i="9" s="1"/>
  <c r="L126" i="9"/>
  <c r="M126" i="9" s="1"/>
  <c r="L269" i="9"/>
  <c r="M269" i="9" s="1"/>
  <c r="L9" i="9"/>
  <c r="M9" i="9" s="1"/>
  <c r="L222" i="9"/>
  <c r="M222" i="9" s="1"/>
  <c r="L252" i="9"/>
  <c r="M252" i="9" s="1"/>
  <c r="L121" i="9"/>
  <c r="M121" i="9" s="1"/>
  <c r="L142" i="9"/>
  <c r="M142" i="9" s="1"/>
  <c r="L90" i="9"/>
  <c r="M90" i="9" s="1"/>
  <c r="L168" i="9"/>
  <c r="M168" i="9" s="1"/>
  <c r="L12" i="9"/>
  <c r="M12" i="9" s="1"/>
  <c r="L240" i="9"/>
  <c r="M240" i="9" s="1"/>
  <c r="L299" i="9"/>
  <c r="M299" i="9" s="1"/>
  <c r="L214" i="9"/>
  <c r="M214" i="9" s="1"/>
  <c r="L160" i="9"/>
  <c r="M160" i="9" s="1"/>
  <c r="L163" i="9"/>
  <c r="M163" i="9" s="1"/>
  <c r="L33" i="9"/>
  <c r="M33" i="9" s="1"/>
  <c r="L76" i="9"/>
  <c r="M76" i="9" s="1"/>
  <c r="L316" i="9"/>
  <c r="M316" i="9" s="1"/>
  <c r="L62" i="9"/>
  <c r="M62" i="9" s="1"/>
  <c r="L288" i="9"/>
  <c r="M288" i="9" s="1"/>
  <c r="L209" i="9"/>
  <c r="M209" i="9" s="1"/>
  <c r="L262" i="9"/>
  <c r="M262" i="9" s="1"/>
  <c r="L197" i="9"/>
  <c r="M197" i="9" s="1"/>
  <c r="L97" i="9"/>
  <c r="M97" i="9" s="1"/>
  <c r="L111" i="9"/>
  <c r="M111" i="9" s="1"/>
  <c r="L273" i="9"/>
  <c r="M273" i="9" s="1"/>
  <c r="L113" i="9"/>
  <c r="M113" i="9" s="1"/>
  <c r="L104" i="9"/>
  <c r="M104" i="9" s="1"/>
  <c r="L296" i="9"/>
  <c r="M296" i="9" s="1"/>
  <c r="L161" i="9"/>
  <c r="M161" i="9" s="1"/>
  <c r="L219" i="9"/>
  <c r="M219" i="9" s="1"/>
  <c r="L278" i="9"/>
  <c r="M278" i="9" s="1"/>
  <c r="L290" i="9"/>
  <c r="M290" i="9" s="1"/>
  <c r="AC321" i="3" l="1"/>
  <c r="AB321" i="3"/>
  <c r="AA321" i="3"/>
  <c r="AC320" i="3"/>
  <c r="AB320" i="3"/>
  <c r="AA320" i="3"/>
  <c r="AC319" i="3"/>
  <c r="AB319" i="3"/>
  <c r="AA319" i="3"/>
  <c r="AC318" i="3"/>
  <c r="AB318" i="3"/>
  <c r="AA318" i="3"/>
  <c r="AC317" i="3"/>
  <c r="AB317" i="3"/>
  <c r="AA317" i="3"/>
  <c r="AC316" i="3"/>
  <c r="AB316" i="3"/>
  <c r="AA316" i="3"/>
  <c r="AC315" i="3"/>
  <c r="AB315" i="3"/>
  <c r="AA315" i="3"/>
  <c r="AC314" i="3"/>
  <c r="AB314" i="3"/>
  <c r="AA314" i="3"/>
  <c r="AC313" i="3"/>
  <c r="AB313" i="3"/>
  <c r="AA313" i="3"/>
  <c r="AC312" i="3"/>
  <c r="AB312" i="3"/>
  <c r="AA312" i="3"/>
  <c r="AC311" i="3"/>
  <c r="AB311" i="3"/>
  <c r="AA311" i="3"/>
  <c r="AC310" i="3"/>
  <c r="AB310" i="3"/>
  <c r="AA310" i="3"/>
  <c r="AC309" i="3"/>
  <c r="AB309" i="3"/>
  <c r="AA309" i="3"/>
  <c r="AC308" i="3"/>
  <c r="AB308" i="3"/>
  <c r="AA308" i="3"/>
  <c r="AC307" i="3"/>
  <c r="AB307" i="3"/>
  <c r="AA307" i="3"/>
  <c r="AC306" i="3"/>
  <c r="AB306" i="3"/>
  <c r="AA306" i="3"/>
  <c r="AC305" i="3"/>
  <c r="AB305" i="3"/>
  <c r="AA305" i="3"/>
  <c r="AC304" i="3"/>
  <c r="AB304" i="3"/>
  <c r="AA304" i="3"/>
  <c r="AC303" i="3"/>
  <c r="AB303" i="3"/>
  <c r="AA303" i="3"/>
  <c r="AC302" i="3"/>
  <c r="AB302" i="3"/>
  <c r="AA302" i="3"/>
  <c r="AC301" i="3"/>
  <c r="AB301" i="3"/>
  <c r="AA301" i="3"/>
  <c r="AC300" i="3"/>
  <c r="AB300" i="3"/>
  <c r="AA300" i="3"/>
  <c r="AC299" i="3"/>
  <c r="AB299" i="3"/>
  <c r="AA299" i="3"/>
  <c r="AC298" i="3"/>
  <c r="AB298" i="3"/>
  <c r="AA298" i="3"/>
  <c r="AC297" i="3"/>
  <c r="AB297" i="3"/>
  <c r="AA297" i="3"/>
  <c r="AC296" i="3"/>
  <c r="AB296" i="3"/>
  <c r="AA296" i="3"/>
  <c r="AC295" i="3"/>
  <c r="AB295" i="3"/>
  <c r="AA295" i="3"/>
  <c r="AC294" i="3"/>
  <c r="AB294" i="3"/>
  <c r="AA294" i="3"/>
  <c r="AC293" i="3"/>
  <c r="AB293" i="3"/>
  <c r="AA293" i="3"/>
  <c r="AC292" i="3"/>
  <c r="AB292" i="3"/>
  <c r="AA292" i="3"/>
  <c r="AC291" i="3"/>
  <c r="AB291" i="3"/>
  <c r="AA291" i="3"/>
  <c r="AC290" i="3"/>
  <c r="AB290" i="3"/>
  <c r="AA290" i="3"/>
  <c r="AC289" i="3"/>
  <c r="AB289" i="3"/>
  <c r="AA289" i="3"/>
  <c r="AC288" i="3"/>
  <c r="AB288" i="3"/>
  <c r="AA288" i="3"/>
  <c r="AC287" i="3"/>
  <c r="AB287" i="3"/>
  <c r="AA287" i="3"/>
  <c r="AC286" i="3"/>
  <c r="AB286" i="3"/>
  <c r="AA286" i="3"/>
  <c r="AC285" i="3"/>
  <c r="AB285" i="3"/>
  <c r="AA285" i="3"/>
  <c r="AC284" i="3"/>
  <c r="AB284" i="3"/>
  <c r="AA284" i="3"/>
  <c r="AC283" i="3"/>
  <c r="AB283" i="3"/>
  <c r="AA283" i="3"/>
  <c r="AC282" i="3"/>
  <c r="AB282" i="3"/>
  <c r="AA282" i="3"/>
  <c r="AC281" i="3"/>
  <c r="AB281" i="3"/>
  <c r="AA281" i="3"/>
  <c r="AC280" i="3"/>
  <c r="AB280" i="3"/>
  <c r="AA280" i="3"/>
  <c r="AC279" i="3"/>
  <c r="AB279" i="3"/>
  <c r="AA279" i="3"/>
  <c r="AC278" i="3"/>
  <c r="AB278" i="3"/>
  <c r="AA278" i="3"/>
  <c r="AC277" i="3"/>
  <c r="AB277" i="3"/>
  <c r="AA277" i="3"/>
  <c r="AC276" i="3"/>
  <c r="AB276" i="3"/>
  <c r="AA276" i="3"/>
  <c r="AC275" i="3"/>
  <c r="AB275" i="3"/>
  <c r="AA275" i="3"/>
  <c r="AC274" i="3"/>
  <c r="AB274" i="3"/>
  <c r="AA274" i="3"/>
  <c r="AC273" i="3"/>
  <c r="AB273" i="3"/>
  <c r="AA273" i="3"/>
  <c r="AC272" i="3"/>
  <c r="AB272" i="3"/>
  <c r="AA272" i="3"/>
  <c r="AC271" i="3"/>
  <c r="AB271" i="3"/>
  <c r="AA271" i="3"/>
  <c r="AC270" i="3"/>
  <c r="AB270" i="3"/>
  <c r="AA270" i="3"/>
  <c r="AC269" i="3"/>
  <c r="AB269" i="3"/>
  <c r="AA269" i="3"/>
  <c r="AC268" i="3"/>
  <c r="AB268" i="3"/>
  <c r="AA268" i="3"/>
  <c r="AC267" i="3"/>
  <c r="AB267" i="3"/>
  <c r="AA267" i="3"/>
  <c r="AC266" i="3"/>
  <c r="AB266" i="3"/>
  <c r="AA266" i="3"/>
  <c r="AC265" i="3"/>
  <c r="AB265" i="3"/>
  <c r="AA265" i="3"/>
  <c r="AC264" i="3"/>
  <c r="AB264" i="3"/>
  <c r="AA264" i="3"/>
  <c r="AC263" i="3"/>
  <c r="AB263" i="3"/>
  <c r="AA263" i="3"/>
  <c r="AC262" i="3"/>
  <c r="AB262" i="3"/>
  <c r="AA262" i="3"/>
  <c r="AC261" i="3"/>
  <c r="AB261" i="3"/>
  <c r="AA261" i="3"/>
  <c r="AC260" i="3"/>
  <c r="AB260" i="3"/>
  <c r="AA260" i="3"/>
  <c r="AC259" i="3"/>
  <c r="AB259" i="3"/>
  <c r="AA259" i="3"/>
  <c r="AC258" i="3"/>
  <c r="AB258" i="3"/>
  <c r="AA258" i="3"/>
  <c r="AC257" i="3"/>
  <c r="AB257" i="3"/>
  <c r="AA257" i="3"/>
  <c r="AC256" i="3"/>
  <c r="AB256" i="3"/>
  <c r="AA256" i="3"/>
  <c r="AC255" i="3"/>
  <c r="AB255" i="3"/>
  <c r="AA255" i="3"/>
  <c r="AC254" i="3"/>
  <c r="AB254" i="3"/>
  <c r="AA254" i="3"/>
  <c r="AC253" i="3"/>
  <c r="AB253" i="3"/>
  <c r="AA253" i="3"/>
  <c r="AC252" i="3"/>
  <c r="AB252" i="3"/>
  <c r="AA252" i="3"/>
  <c r="AC251" i="3"/>
  <c r="AB251" i="3"/>
  <c r="AA251" i="3"/>
  <c r="AC250" i="3"/>
  <c r="AB250" i="3"/>
  <c r="AA250" i="3"/>
  <c r="AC249" i="3"/>
  <c r="AB249" i="3"/>
  <c r="AA249" i="3"/>
  <c r="AC248" i="3"/>
  <c r="AB248" i="3"/>
  <c r="AA248" i="3"/>
  <c r="AC247" i="3"/>
  <c r="AB247" i="3"/>
  <c r="AA247" i="3"/>
  <c r="AC246" i="3"/>
  <c r="AB246" i="3"/>
  <c r="AA246" i="3"/>
  <c r="AC245" i="3"/>
  <c r="AB245" i="3"/>
  <c r="AA245" i="3"/>
  <c r="AC244" i="3"/>
  <c r="AB244" i="3"/>
  <c r="AA244" i="3"/>
  <c r="AC243" i="3"/>
  <c r="AB243" i="3"/>
  <c r="AA243" i="3"/>
  <c r="AC242" i="3"/>
  <c r="AB242" i="3"/>
  <c r="AA242" i="3"/>
  <c r="AC241" i="3"/>
  <c r="AB241" i="3"/>
  <c r="AA241" i="3"/>
  <c r="AC240" i="3"/>
  <c r="AB240" i="3"/>
  <c r="AA240" i="3"/>
  <c r="AC239" i="3"/>
  <c r="AB239" i="3"/>
  <c r="AA239" i="3"/>
  <c r="AC238" i="3"/>
  <c r="AB238" i="3"/>
  <c r="AA238" i="3"/>
  <c r="AC237" i="3"/>
  <c r="AB237" i="3"/>
  <c r="AA237" i="3"/>
  <c r="AC236" i="3"/>
  <c r="AB236" i="3"/>
  <c r="AA236" i="3"/>
  <c r="AC235" i="3"/>
  <c r="AB235" i="3"/>
  <c r="AA235" i="3"/>
  <c r="AC234" i="3"/>
  <c r="AB234" i="3"/>
  <c r="AA234" i="3"/>
  <c r="AC233" i="3"/>
  <c r="AB233" i="3"/>
  <c r="AA233" i="3"/>
  <c r="AC232" i="3"/>
  <c r="AB232" i="3"/>
  <c r="AA232" i="3"/>
  <c r="AC231" i="3"/>
  <c r="AB231" i="3"/>
  <c r="AA231" i="3"/>
  <c r="AC230" i="3"/>
  <c r="AB230" i="3"/>
  <c r="AA230" i="3"/>
  <c r="AC229" i="3"/>
  <c r="AB229" i="3"/>
  <c r="AA229" i="3"/>
  <c r="AC228" i="3"/>
  <c r="AB228" i="3"/>
  <c r="AA228" i="3"/>
  <c r="AC227" i="3"/>
  <c r="AB227" i="3"/>
  <c r="AA227" i="3"/>
  <c r="AC226" i="3"/>
  <c r="AB226" i="3"/>
  <c r="AA226" i="3"/>
  <c r="AC225" i="3"/>
  <c r="AB225" i="3"/>
  <c r="AA225" i="3"/>
  <c r="AC224" i="3"/>
  <c r="AB224" i="3"/>
  <c r="AA224" i="3"/>
  <c r="AC223" i="3"/>
  <c r="AB223" i="3"/>
  <c r="AA223" i="3"/>
  <c r="AC222" i="3"/>
  <c r="AB222" i="3"/>
  <c r="AA222" i="3"/>
  <c r="AC221" i="3"/>
  <c r="AB221" i="3"/>
  <c r="AA221" i="3"/>
  <c r="AC220" i="3"/>
  <c r="AB220" i="3"/>
  <c r="AA220" i="3"/>
  <c r="AC219" i="3"/>
  <c r="AB219" i="3"/>
  <c r="AA219" i="3"/>
  <c r="AC218" i="3"/>
  <c r="AB218" i="3"/>
  <c r="AA218" i="3"/>
  <c r="AC217" i="3"/>
  <c r="AB217" i="3"/>
  <c r="AA217" i="3"/>
  <c r="AC216" i="3"/>
  <c r="AB216" i="3"/>
  <c r="AA216" i="3"/>
  <c r="AC215" i="3"/>
  <c r="AB215" i="3"/>
  <c r="AA215" i="3"/>
  <c r="AC214" i="3"/>
  <c r="AB214" i="3"/>
  <c r="AA214" i="3"/>
  <c r="AC213" i="3"/>
  <c r="AB213" i="3"/>
  <c r="AA213" i="3"/>
  <c r="AC212" i="3"/>
  <c r="AB212" i="3"/>
  <c r="AA212" i="3"/>
  <c r="AC211" i="3"/>
  <c r="AB211" i="3"/>
  <c r="AA211" i="3"/>
  <c r="AC210" i="3"/>
  <c r="AB210" i="3"/>
  <c r="AA210" i="3"/>
  <c r="AC209" i="3"/>
  <c r="AB209" i="3"/>
  <c r="AA209" i="3"/>
  <c r="AC208" i="3"/>
  <c r="AB208" i="3"/>
  <c r="AA208" i="3"/>
  <c r="AC207" i="3"/>
  <c r="AB207" i="3"/>
  <c r="AA207" i="3"/>
  <c r="AC206" i="3"/>
  <c r="AB206" i="3"/>
  <c r="AA206" i="3"/>
  <c r="AC205" i="3"/>
  <c r="AB205" i="3"/>
  <c r="AA205" i="3"/>
  <c r="AC204" i="3"/>
  <c r="AB204" i="3"/>
  <c r="AA204" i="3"/>
  <c r="AC203" i="3"/>
  <c r="AB203" i="3"/>
  <c r="AA203" i="3"/>
  <c r="AC202" i="3"/>
  <c r="AB202" i="3"/>
  <c r="AA202" i="3"/>
  <c r="AC201" i="3"/>
  <c r="AB201" i="3"/>
  <c r="AA201" i="3"/>
  <c r="AC200" i="3"/>
  <c r="AB200" i="3"/>
  <c r="AA200" i="3"/>
  <c r="AC199" i="3"/>
  <c r="AB199" i="3"/>
  <c r="AA199" i="3"/>
  <c r="AC198" i="3"/>
  <c r="AB198" i="3"/>
  <c r="AA198" i="3"/>
  <c r="AC197" i="3"/>
  <c r="AB197" i="3"/>
  <c r="AA197" i="3"/>
  <c r="AC196" i="3"/>
  <c r="AB196" i="3"/>
  <c r="AA196" i="3"/>
  <c r="AC195" i="3"/>
  <c r="AB195" i="3"/>
  <c r="AA195" i="3"/>
  <c r="AC194" i="3"/>
  <c r="AB194" i="3"/>
  <c r="AA194" i="3"/>
  <c r="AC193" i="3"/>
  <c r="AB193" i="3"/>
  <c r="AA193" i="3"/>
  <c r="AC192" i="3"/>
  <c r="AB192" i="3"/>
  <c r="AA192" i="3"/>
  <c r="AC191" i="3"/>
  <c r="AB191" i="3"/>
  <c r="AA191" i="3"/>
  <c r="AC190" i="3"/>
  <c r="AB190" i="3"/>
  <c r="AA190" i="3"/>
  <c r="AC189" i="3"/>
  <c r="AB189" i="3"/>
  <c r="AA189" i="3"/>
  <c r="AC188" i="3"/>
  <c r="AB188" i="3"/>
  <c r="AA188" i="3"/>
  <c r="AC187" i="3"/>
  <c r="AB187" i="3"/>
  <c r="AA187" i="3"/>
  <c r="AC186" i="3"/>
  <c r="AB186" i="3"/>
  <c r="AA186" i="3"/>
  <c r="AC185" i="3"/>
  <c r="AB185" i="3"/>
  <c r="AA185" i="3"/>
  <c r="AC184" i="3"/>
  <c r="AB184" i="3"/>
  <c r="AA184" i="3"/>
  <c r="AC183" i="3"/>
  <c r="AB183" i="3"/>
  <c r="AA183" i="3"/>
  <c r="AC182" i="3"/>
  <c r="AB182" i="3"/>
  <c r="AA182" i="3"/>
  <c r="AC181" i="3"/>
  <c r="AB181" i="3"/>
  <c r="AA181" i="3"/>
  <c r="AC180" i="3"/>
  <c r="AB180" i="3"/>
  <c r="AA180" i="3"/>
  <c r="AC179" i="3"/>
  <c r="AB179" i="3"/>
  <c r="AA179" i="3"/>
  <c r="AC178" i="3"/>
  <c r="AB178" i="3"/>
  <c r="AA178" i="3"/>
  <c r="AC177" i="3"/>
  <c r="AB177" i="3"/>
  <c r="AA177" i="3"/>
  <c r="AC176" i="3"/>
  <c r="AB176" i="3"/>
  <c r="AA176" i="3"/>
  <c r="AC175" i="3"/>
  <c r="AB175" i="3"/>
  <c r="AA175" i="3"/>
  <c r="AC174" i="3"/>
  <c r="AB174" i="3"/>
  <c r="AA174" i="3"/>
  <c r="AC173" i="3"/>
  <c r="AB173" i="3"/>
  <c r="AA173" i="3"/>
  <c r="AC172" i="3"/>
  <c r="AB172" i="3"/>
  <c r="AA172" i="3"/>
  <c r="AC171" i="3"/>
  <c r="AB171" i="3"/>
  <c r="AA171" i="3"/>
  <c r="AC170" i="3"/>
  <c r="AB170" i="3"/>
  <c r="AA170" i="3"/>
  <c r="AC169" i="3"/>
  <c r="AB169" i="3"/>
  <c r="AA169" i="3"/>
  <c r="AC168" i="3"/>
  <c r="AB168" i="3"/>
  <c r="AA168" i="3"/>
  <c r="AC167" i="3"/>
  <c r="AB167" i="3"/>
  <c r="AA167" i="3"/>
  <c r="AC166" i="3"/>
  <c r="AB166" i="3"/>
  <c r="AA166" i="3"/>
  <c r="AC165" i="3"/>
  <c r="AB165" i="3"/>
  <c r="AA165" i="3"/>
  <c r="AC164" i="3"/>
  <c r="AB164" i="3"/>
  <c r="AA164" i="3"/>
  <c r="AC163" i="3"/>
  <c r="AB163" i="3"/>
  <c r="AA163" i="3"/>
  <c r="AC162" i="3"/>
  <c r="AB162" i="3"/>
  <c r="AA162" i="3"/>
  <c r="AC161" i="3"/>
  <c r="AB161" i="3"/>
  <c r="AA161" i="3"/>
  <c r="AC160" i="3"/>
  <c r="AB160" i="3"/>
  <c r="AA160" i="3"/>
  <c r="AC159" i="3"/>
  <c r="AB159" i="3"/>
  <c r="AA159" i="3"/>
  <c r="AC158" i="3"/>
  <c r="AB158" i="3"/>
  <c r="AA158" i="3"/>
  <c r="AC157" i="3"/>
  <c r="AB157" i="3"/>
  <c r="AA157" i="3"/>
  <c r="AC156" i="3"/>
  <c r="AB156" i="3"/>
  <c r="AA156" i="3"/>
  <c r="AC155" i="3"/>
  <c r="AB155" i="3"/>
  <c r="AA155" i="3"/>
  <c r="AC154" i="3"/>
  <c r="AB154" i="3"/>
  <c r="AA154" i="3"/>
  <c r="AC153" i="3"/>
  <c r="AB153" i="3"/>
  <c r="AA153" i="3"/>
  <c r="AC152" i="3"/>
  <c r="AB152" i="3"/>
  <c r="AA152" i="3"/>
  <c r="AC151" i="3"/>
  <c r="AB151" i="3"/>
  <c r="AA151" i="3"/>
  <c r="AC150" i="3"/>
  <c r="AB150" i="3"/>
  <c r="AA150" i="3"/>
  <c r="AC149" i="3"/>
  <c r="AB149" i="3"/>
  <c r="AA149" i="3"/>
  <c r="AC148" i="3"/>
  <c r="AB148" i="3"/>
  <c r="AA148" i="3"/>
  <c r="AC147" i="3"/>
  <c r="AB147" i="3"/>
  <c r="AA147" i="3"/>
  <c r="AC146" i="3"/>
  <c r="AB146" i="3"/>
  <c r="AA146" i="3"/>
  <c r="AC145" i="3"/>
  <c r="AB145" i="3"/>
  <c r="AA145" i="3"/>
  <c r="AC144" i="3"/>
  <c r="AB144" i="3"/>
  <c r="AA144" i="3"/>
  <c r="AC143" i="3"/>
  <c r="AB143" i="3"/>
  <c r="AA143" i="3"/>
  <c r="AC142" i="3"/>
  <c r="AB142" i="3"/>
  <c r="AA142" i="3"/>
  <c r="AC141" i="3"/>
  <c r="AB141" i="3"/>
  <c r="AA141" i="3"/>
  <c r="AC140" i="3"/>
  <c r="AB140" i="3"/>
  <c r="AA140" i="3"/>
  <c r="AC139" i="3"/>
  <c r="AB139" i="3"/>
  <c r="AA139" i="3"/>
  <c r="AC138" i="3"/>
  <c r="AB138" i="3"/>
  <c r="AA138" i="3"/>
  <c r="AC137" i="3"/>
  <c r="AB137" i="3"/>
  <c r="AA137" i="3"/>
  <c r="AC136" i="3"/>
  <c r="AB136" i="3"/>
  <c r="AA136" i="3"/>
  <c r="AC135" i="3"/>
  <c r="AB135" i="3"/>
  <c r="AA135" i="3"/>
  <c r="AC134" i="3"/>
  <c r="AB134" i="3"/>
  <c r="AA134" i="3"/>
  <c r="AC133" i="3"/>
  <c r="AB133" i="3"/>
  <c r="AA133" i="3"/>
  <c r="AC132" i="3"/>
  <c r="AB132" i="3"/>
  <c r="AA132" i="3"/>
  <c r="AC131" i="3"/>
  <c r="AB131" i="3"/>
  <c r="AA131" i="3"/>
  <c r="AC130" i="3"/>
  <c r="AB130" i="3"/>
  <c r="AA130" i="3"/>
  <c r="AC129" i="3"/>
  <c r="AB129" i="3"/>
  <c r="AA129" i="3"/>
  <c r="AC128" i="3"/>
  <c r="AB128" i="3"/>
  <c r="AA128" i="3"/>
  <c r="AC127" i="3"/>
  <c r="AB127" i="3"/>
  <c r="AA127" i="3"/>
  <c r="AC126" i="3"/>
  <c r="AB126" i="3"/>
  <c r="AA126" i="3"/>
  <c r="AC125" i="3"/>
  <c r="AB125" i="3"/>
  <c r="AA125" i="3"/>
  <c r="AC124" i="3"/>
  <c r="AB124" i="3"/>
  <c r="AA124" i="3"/>
  <c r="AC123" i="3"/>
  <c r="AB123" i="3"/>
  <c r="AA123" i="3"/>
  <c r="AC122" i="3"/>
  <c r="AB122" i="3"/>
  <c r="AA122" i="3"/>
  <c r="AC121" i="3"/>
  <c r="AB121" i="3"/>
  <c r="AA121" i="3"/>
  <c r="AC120" i="3"/>
  <c r="AB120" i="3"/>
  <c r="AA120" i="3"/>
  <c r="AC119" i="3"/>
  <c r="AB119" i="3"/>
  <c r="AA119" i="3"/>
  <c r="AC118" i="3"/>
  <c r="AB118" i="3"/>
  <c r="AA118" i="3"/>
  <c r="AC117" i="3"/>
  <c r="AB117" i="3"/>
  <c r="AA117" i="3"/>
  <c r="AC116" i="3"/>
  <c r="AB116" i="3"/>
  <c r="AA116" i="3"/>
  <c r="AC115" i="3"/>
  <c r="AB115" i="3"/>
  <c r="AA115" i="3"/>
  <c r="AC114" i="3"/>
  <c r="AB114" i="3"/>
  <c r="AA114" i="3"/>
  <c r="AC113" i="3"/>
  <c r="AB113" i="3"/>
  <c r="AA113" i="3"/>
  <c r="AC112" i="3"/>
  <c r="AB112" i="3"/>
  <c r="AA112" i="3"/>
  <c r="AC111" i="3"/>
  <c r="AB111" i="3"/>
  <c r="AA111" i="3"/>
  <c r="AC110" i="3"/>
  <c r="AB110" i="3"/>
  <c r="AA110" i="3"/>
  <c r="AC109" i="3"/>
  <c r="AB109" i="3"/>
  <c r="AA109" i="3"/>
  <c r="AC108" i="3"/>
  <c r="AB108" i="3"/>
  <c r="AA108" i="3"/>
  <c r="AC107" i="3"/>
  <c r="AB107" i="3"/>
  <c r="AA107" i="3"/>
  <c r="AC106" i="3"/>
  <c r="AB106" i="3"/>
  <c r="AA106" i="3"/>
  <c r="AC105" i="3"/>
  <c r="AB105" i="3"/>
  <c r="AA105" i="3"/>
  <c r="AC104" i="3"/>
  <c r="AB104" i="3"/>
  <c r="AA104" i="3"/>
  <c r="AC103" i="3"/>
  <c r="AB103" i="3"/>
  <c r="AA103" i="3"/>
  <c r="AC102" i="3"/>
  <c r="AB102" i="3"/>
  <c r="AA102" i="3"/>
  <c r="AC101" i="3"/>
  <c r="AB101" i="3"/>
  <c r="AA101" i="3"/>
  <c r="AC100" i="3"/>
  <c r="AB100" i="3"/>
  <c r="AA100" i="3"/>
  <c r="AC99" i="3"/>
  <c r="AB99" i="3"/>
  <c r="AA99" i="3"/>
  <c r="AC98" i="3"/>
  <c r="AB98" i="3"/>
  <c r="AA98" i="3"/>
  <c r="AC97" i="3"/>
  <c r="AB97" i="3"/>
  <c r="AA97" i="3"/>
  <c r="AC96" i="3"/>
  <c r="AB96" i="3"/>
  <c r="AA96" i="3"/>
  <c r="AC95" i="3"/>
  <c r="AB95" i="3"/>
  <c r="AA95" i="3"/>
  <c r="AC94" i="3"/>
  <c r="AB94" i="3"/>
  <c r="AA94" i="3"/>
  <c r="AC93" i="3"/>
  <c r="AB93" i="3"/>
  <c r="AA93" i="3"/>
  <c r="AC92" i="3"/>
  <c r="AB92" i="3"/>
  <c r="AA92" i="3"/>
  <c r="AC91" i="3"/>
  <c r="AB91" i="3"/>
  <c r="AA91" i="3"/>
  <c r="AC90" i="3"/>
  <c r="AB90" i="3"/>
  <c r="AA90" i="3"/>
  <c r="AC89" i="3"/>
  <c r="AB89" i="3"/>
  <c r="AA89" i="3"/>
  <c r="AC88" i="3"/>
  <c r="AB88" i="3"/>
  <c r="AA88" i="3"/>
  <c r="AC87" i="3"/>
  <c r="AB87" i="3"/>
  <c r="AA87" i="3"/>
  <c r="AC86" i="3"/>
  <c r="AB86" i="3"/>
  <c r="AA86" i="3"/>
  <c r="AC85" i="3"/>
  <c r="AB85" i="3"/>
  <c r="AA85" i="3"/>
  <c r="AC84" i="3"/>
  <c r="AB84" i="3"/>
  <c r="AA84" i="3"/>
  <c r="AC83" i="3"/>
  <c r="AB83" i="3"/>
  <c r="AA83" i="3"/>
  <c r="AC82" i="3"/>
  <c r="AB82" i="3"/>
  <c r="AA82" i="3"/>
  <c r="AC81" i="3"/>
  <c r="AB81" i="3"/>
  <c r="AA81" i="3"/>
  <c r="AC80" i="3"/>
  <c r="AB80" i="3"/>
  <c r="AA80" i="3"/>
  <c r="AC79" i="3"/>
  <c r="AB79" i="3"/>
  <c r="AA79" i="3"/>
  <c r="AC78" i="3"/>
  <c r="AB78" i="3"/>
  <c r="AA78" i="3"/>
  <c r="AC77" i="3"/>
  <c r="AB77" i="3"/>
  <c r="AA77" i="3"/>
  <c r="AC76" i="3"/>
  <c r="AB76" i="3"/>
  <c r="AA76" i="3"/>
  <c r="AC75" i="3"/>
  <c r="AB75" i="3"/>
  <c r="AA75" i="3"/>
  <c r="AC74" i="3"/>
  <c r="AB74" i="3"/>
  <c r="AA74" i="3"/>
  <c r="AC73" i="3"/>
  <c r="AB73" i="3"/>
  <c r="AA73" i="3"/>
  <c r="AC72" i="3"/>
  <c r="AB72" i="3"/>
  <c r="AA72" i="3"/>
  <c r="AC71" i="3"/>
  <c r="AB71" i="3"/>
  <c r="AA71" i="3"/>
  <c r="AC70" i="3"/>
  <c r="AB70" i="3"/>
  <c r="AA70" i="3"/>
  <c r="AC69" i="3"/>
  <c r="AB69" i="3"/>
  <c r="AA69" i="3"/>
  <c r="AC68" i="3"/>
  <c r="AB68" i="3"/>
  <c r="AA68" i="3"/>
  <c r="AC67" i="3"/>
  <c r="AB67" i="3"/>
  <c r="AA67" i="3"/>
  <c r="AC66" i="3"/>
  <c r="AB66" i="3"/>
  <c r="AA66" i="3"/>
  <c r="AC65" i="3"/>
  <c r="AB65" i="3"/>
  <c r="AA65" i="3"/>
  <c r="AC64" i="3"/>
  <c r="AB64" i="3"/>
  <c r="AA64" i="3"/>
  <c r="AC63" i="3"/>
  <c r="AB63" i="3"/>
  <c r="AA63" i="3"/>
  <c r="AC62" i="3"/>
  <c r="AB62" i="3"/>
  <c r="AA62" i="3"/>
  <c r="AC61" i="3"/>
  <c r="AB61" i="3"/>
  <c r="AA61" i="3"/>
  <c r="AC60" i="3"/>
  <c r="AB60" i="3"/>
  <c r="AA60" i="3"/>
  <c r="AC59" i="3"/>
  <c r="AB59" i="3"/>
  <c r="AA59" i="3"/>
  <c r="AC58" i="3"/>
  <c r="AB58" i="3"/>
  <c r="AA58" i="3"/>
  <c r="AC57" i="3"/>
  <c r="AB57" i="3"/>
  <c r="AA57" i="3"/>
  <c r="AC56" i="3"/>
  <c r="AB56" i="3"/>
  <c r="AA56" i="3"/>
  <c r="AC55" i="3"/>
  <c r="AB55" i="3"/>
  <c r="AA55" i="3"/>
  <c r="AC54" i="3"/>
  <c r="AB54" i="3"/>
  <c r="AA54" i="3"/>
  <c r="AC53" i="3"/>
  <c r="AB53" i="3"/>
  <c r="AA53" i="3"/>
  <c r="AC52" i="3"/>
  <c r="AB52" i="3"/>
  <c r="AA52" i="3"/>
  <c r="AC51" i="3"/>
  <c r="AB51" i="3"/>
  <c r="AA51" i="3"/>
  <c r="AC50" i="3"/>
  <c r="AB50" i="3"/>
  <c r="AA50" i="3"/>
  <c r="AC49" i="3"/>
  <c r="AB49" i="3"/>
  <c r="AA49" i="3"/>
  <c r="AC48" i="3"/>
  <c r="AB48" i="3"/>
  <c r="AA48" i="3"/>
  <c r="AC47" i="3"/>
  <c r="AB47" i="3"/>
  <c r="AA47" i="3"/>
  <c r="AC46" i="3"/>
  <c r="AB46" i="3"/>
  <c r="AA46" i="3"/>
  <c r="AC45" i="3"/>
  <c r="AB45" i="3"/>
  <c r="AA45" i="3"/>
  <c r="AC44" i="3"/>
  <c r="AB44" i="3"/>
  <c r="AA44" i="3"/>
  <c r="AC43" i="3"/>
  <c r="AB43" i="3"/>
  <c r="AA43" i="3"/>
  <c r="AC42" i="3"/>
  <c r="AB42" i="3"/>
  <c r="AA42" i="3"/>
  <c r="AC41" i="3"/>
  <c r="AB41" i="3"/>
  <c r="AA41" i="3"/>
  <c r="AC40" i="3"/>
  <c r="AB40" i="3"/>
  <c r="AA40" i="3"/>
  <c r="AC39" i="3"/>
  <c r="AB39" i="3"/>
  <c r="AA39" i="3"/>
  <c r="AC38" i="3"/>
  <c r="AB38" i="3"/>
  <c r="AA38" i="3"/>
  <c r="AC37" i="3"/>
  <c r="AB37" i="3"/>
  <c r="AA37" i="3"/>
  <c r="AC36" i="3"/>
  <c r="AB36" i="3"/>
  <c r="AA36" i="3"/>
  <c r="AC35" i="3"/>
  <c r="AB35" i="3"/>
  <c r="AA35" i="3"/>
  <c r="AC34" i="3"/>
  <c r="AB34" i="3"/>
  <c r="AA3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9" i="3"/>
  <c r="AB29" i="3"/>
  <c r="AA29" i="3"/>
  <c r="AC28" i="3"/>
  <c r="AB28" i="3"/>
  <c r="AA28" i="3"/>
  <c r="AC27" i="3"/>
  <c r="AB27" i="3"/>
  <c r="AA27" i="3"/>
  <c r="AC26" i="3"/>
  <c r="AB26" i="3"/>
  <c r="AA26" i="3"/>
  <c r="AC25" i="3"/>
  <c r="AB25" i="3"/>
  <c r="AA25" i="3"/>
  <c r="AC24" i="3"/>
  <c r="AB24" i="3"/>
  <c r="AA24" i="3"/>
  <c r="AC23" i="3"/>
  <c r="AB23" i="3"/>
  <c r="AA23" i="3"/>
  <c r="AC22" i="3"/>
  <c r="AB22" i="3"/>
  <c r="AA22" i="3"/>
  <c r="AC21" i="3"/>
  <c r="AB21" i="3"/>
  <c r="AA21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C16" i="3"/>
  <c r="AB16" i="3"/>
  <c r="AA16" i="3"/>
  <c r="AC15" i="3"/>
  <c r="AB15" i="3"/>
  <c r="AA15" i="3"/>
  <c r="AC14" i="3"/>
  <c r="AB14" i="3"/>
  <c r="AA14" i="3"/>
  <c r="AC13" i="3"/>
  <c r="AB13" i="3"/>
  <c r="AA13" i="3"/>
  <c r="AC12" i="3"/>
  <c r="AB12" i="3"/>
  <c r="AA12" i="3"/>
  <c r="AC11" i="3"/>
  <c r="AB11" i="3"/>
  <c r="AA11" i="3"/>
  <c r="AC10" i="3"/>
  <c r="AB10" i="3"/>
  <c r="AA10" i="3"/>
  <c r="AC9" i="3"/>
  <c r="AB9" i="3"/>
  <c r="AA9" i="3"/>
  <c r="AC8" i="3"/>
  <c r="AB8" i="3"/>
  <c r="AA8" i="3"/>
  <c r="AC7" i="3"/>
  <c r="AB7" i="3"/>
  <c r="AA7" i="3"/>
  <c r="AC6" i="3"/>
  <c r="AB6" i="3"/>
  <c r="AA6" i="3"/>
  <c r="AC5" i="3"/>
  <c r="AB5" i="3"/>
  <c r="AA5" i="3"/>
  <c r="AC4" i="3"/>
  <c r="AB4" i="3"/>
  <c r="AA4" i="3"/>
  <c r="AC3" i="3"/>
  <c r="AB3" i="3"/>
  <c r="AA3" i="3"/>
  <c r="AC2" i="3"/>
  <c r="AB2" i="3"/>
  <c r="AA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2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" i="3"/>
  <c r="N5" i="3"/>
  <c r="N6" i="3"/>
  <c r="N7" i="3"/>
  <c r="N8" i="3"/>
  <c r="N9" i="3"/>
  <c r="N10" i="3"/>
  <c r="N11" i="3"/>
  <c r="N12" i="3"/>
  <c r="N13" i="3"/>
  <c r="N14" i="3"/>
  <c r="N3" i="3"/>
  <c r="N2" i="3"/>
  <c r="Q2" i="3"/>
  <c r="Q319" i="3"/>
  <c r="Q320" i="3"/>
  <c r="Q321" i="3"/>
  <c r="Q324" i="3"/>
  <c r="Q313" i="3" s="1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6" i="3"/>
  <c r="Q137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4" i="3"/>
  <c r="Q316" i="3"/>
  <c r="Q317" i="3"/>
  <c r="Q31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52" i="3"/>
  <c r="Q53" i="3"/>
  <c r="Q54" i="3"/>
  <c r="Q55" i="3"/>
  <c r="Q56" i="3"/>
  <c r="Q57" i="3"/>
  <c r="Q58" i="3"/>
  <c r="Q40" i="3"/>
  <c r="Q41" i="3"/>
  <c r="Q42" i="3"/>
  <c r="Q43" i="3"/>
  <c r="Q44" i="3"/>
  <c r="Q45" i="3"/>
  <c r="Q46" i="3"/>
  <c r="Q47" i="3"/>
  <c r="Q48" i="3"/>
  <c r="Q49" i="3"/>
  <c r="Q50" i="3"/>
  <c r="Q51" i="3"/>
  <c r="Q30" i="3"/>
  <c r="Q31" i="3"/>
  <c r="Q32" i="3"/>
  <c r="Q33" i="3"/>
  <c r="Q34" i="3"/>
  <c r="Q36" i="3"/>
  <c r="Q37" i="3"/>
  <c r="Q38" i="3"/>
  <c r="Q39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" i="3"/>
  <c r="Q135" i="3" l="1"/>
  <c r="Q229" i="3"/>
  <c r="Q197" i="3"/>
  <c r="Q35" i="3"/>
  <c r="Q87" i="3"/>
  <c r="Q315" i="3"/>
  <c r="Q138" i="3"/>
</calcChain>
</file>

<file path=xl/sharedStrings.xml><?xml version="1.0" encoding="utf-8"?>
<sst xmlns="http://schemas.openxmlformats.org/spreadsheetml/2006/main" count="2081" uniqueCount="155">
  <si>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</si>
  <si>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</si>
  <si>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</si>
  <si>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</si>
  <si>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</si>
  <si>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</si>
  <si>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</si>
  <si>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</si>
  <si>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</si>
  <si>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</si>
  <si>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</si>
  <si>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</si>
  <si>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</si>
  <si>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</si>
  <si>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</si>
  <si>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</si>
  <si>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</si>
  <si>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</si>
  <si>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</si>
  <si>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</si>
  <si>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</si>
  <si>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</si>
  <si>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</si>
  <si>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</si>
  <si>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</si>
  <si>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</si>
  <si>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</si>
  <si>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</si>
  <si>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</si>
  <si>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</si>
  <si>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</si>
  <si>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</si>
  <si>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</si>
  <si>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</si>
  <si>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</si>
  <si>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</si>
  <si>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</si>
  <si>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</si>
  <si>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</si>
  <si>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</si>
  <si>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</si>
  <si>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</si>
  <si>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</si>
  <si>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</si>
  <si>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</si>
  <si>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</si>
  <si>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</si>
  <si>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</si>
  <si>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</si>
  <si>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</si>
  <si>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</si>
  <si>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</si>
  <si>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</si>
  <si>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</si>
  <si>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</si>
  <si>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</si>
  <si>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</si>
  <si>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</si>
  <si>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</si>
  <si>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</si>
  <si>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</si>
  <si>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</si>
  <si>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</si>
  <si>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</si>
  <si>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</si>
  <si>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</si>
  <si>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</si>
  <si>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</si>
  <si>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</si>
  <si>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</si>
  <si>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</si>
  <si>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</si>
  <si>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</si>
  <si>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</si>
  <si>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</si>
  <si>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</si>
  <si>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</si>
  <si>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</si>
  <si>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</si>
  <si>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</si>
  <si>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</si>
  <si>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</si>
  <si>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</si>
  <si>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</si>
  <si>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</si>
  <si>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</si>
  <si>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</si>
  <si>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</si>
  <si>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</si>
  <si>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</si>
  <si>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</si>
  <si>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</si>
  <si>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</si>
  <si>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</si>
  <si>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</si>
  <si>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</si>
  <si>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</si>
  <si>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</si>
  <si>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</si>
  <si>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</si>
  <si>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</si>
  <si>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</si>
  <si>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</si>
  <si>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</si>
  <si>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</si>
  <si>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</si>
  <si>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</si>
  <si>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</si>
  <si>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</si>
  <si>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</si>
  <si>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</si>
  <si>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</si>
  <si>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</si>
  <si>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</si>
  <si>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</si>
  <si>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</si>
  <si>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</si>
  <si>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</si>
  <si>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customet rating  clean</t>
  </si>
  <si>
    <t>CLEAN competitor_distance_km</t>
  </si>
  <si>
    <t>region_north</t>
  </si>
  <si>
    <t>region-south</t>
  </si>
  <si>
    <t>region-west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</si>
  <si>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</si>
  <si>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</si>
  <si>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</si>
  <si>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</si>
  <si>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</si>
  <si>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</si>
  <si>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</si>
  <si>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</si>
  <si>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</si>
  <si>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</si>
  <si>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</si>
  <si>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</si>
  <si>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</si>
  <si>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</si>
  <si>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</si>
  <si>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</si>
  <si>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</si>
  <si>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</si>
  <si>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</si>
  <si>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</si>
  <si>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</si>
  <si>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</si>
  <si>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</si>
  <si>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</si>
  <si>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</si>
  <si>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</si>
  <si>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</si>
  <si>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</si>
  <si>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</si>
  <si>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X Variable 6</t>
  </si>
  <si>
    <t>predicted_sales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</si>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</sst>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E20D-6229-45A8-B935-E35FE18A8504}">
  <dimension ref="A1:AC324"/>
  <sheetViews>
    <sheetView topLeftCell="R1" zoomScale="70" zoomScaleNormal="70" workbookViewId="0">
      <selection activeCell="R1" sqref="R1:R1048576"/>
    </sheetView>
  </sheetViews>
  <sheetFormatPr defaultRowHeight="14"/>
  <sheetData>
    <row r="1" spans="1:29" ht="56">
      <c r="A1" s="1" t="s">
        <v>0</v>
      </c>
      <c r="B1" s="1" t="s">
        <v>1</v>
      </c>
      <c r="C1" s="1" t="s">
        <v>2</v>
      </c>
      <c r="D1" s="2" t="s">
        <v>120</v>
      </c>
      <c r="E1" s="2" t="s">
        <v>121</v>
      </c>
      <c r="F1" s="2" t="s">
        <v>122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119</v>
      </c>
      <c r="O1" s="1" t="s">
        <v>10</v>
      </c>
      <c r="P1" s="1" t="s">
        <v>11</v>
      </c>
      <c r="Q1" s="2" t="s">
        <v>118</v>
      </c>
      <c r="R1" s="1" t="s">
        <v>12</v>
      </c>
      <c r="S1" s="1" t="s">
        <v>13</v>
      </c>
      <c r="X1" s="1" t="s">
        <v>4</v>
      </c>
      <c r="Y1" s="1" t="s">
        <v>5</v>
      </c>
      <c r="Z1" s="1" t="s">
        <v>8</v>
      </c>
      <c r="AA1" s="2" t="s">
        <v>120</v>
      </c>
      <c r="AB1" s="2" t="s">
        <v>121</v>
      </c>
      <c r="AC1" s="2" t="s">
        <v>122</v>
      </c>
    </row>
    <row r="2" spans="1:29">
      <c r="A2" s="3" t="s">
        <v>14</v>
      </c>
      <c r="B2" s="5">
        <v>45658</v>
      </c>
      <c r="C2" s="3" t="s">
        <v>15</v>
      </c>
      <c r="D2" s="4">
        <f>IF(C2="North",1,0)</f>
        <v>0</v>
      </c>
      <c r="E2" s="4">
        <f>IF(C2="South",1,0)</f>
        <v>0</v>
      </c>
      <c r="F2" s="4">
        <f>IF(C2="West",1,0)</f>
        <v>0</v>
      </c>
      <c r="G2" s="3" t="s">
        <v>16</v>
      </c>
      <c r="H2" s="3">
        <v>70389.11</v>
      </c>
      <c r="I2" s="3">
        <v>8302</v>
      </c>
      <c r="J2" s="3">
        <v>4.2000000000000003E-2</v>
      </c>
      <c r="K2" s="3">
        <v>17</v>
      </c>
      <c r="L2" s="3">
        <v>75</v>
      </c>
      <c r="M2" s="3">
        <v>5.28</v>
      </c>
      <c r="N2" s="4">
        <f>IF(M2="",MEDIAN($M$2:$M$321),M2)</f>
        <v>5.28</v>
      </c>
      <c r="O2" s="3">
        <v>1</v>
      </c>
      <c r="P2" s="3">
        <v>3.1</v>
      </c>
      <c r="Q2" s="4">
        <f t="shared" ref="Q2:Q65" si="0">IF(P2="",$Q$324,P2)</f>
        <v>3.1</v>
      </c>
      <c r="R2" s="3">
        <v>658832.62</v>
      </c>
      <c r="S2" s="3">
        <v>84349.93</v>
      </c>
      <c r="X2" s="3">
        <v>70389.11</v>
      </c>
      <c r="Y2" s="3">
        <v>8302</v>
      </c>
      <c r="Z2" s="3">
        <v>75</v>
      </c>
      <c r="AA2" s="4">
        <f t="shared" ref="AA2:AA65" si="1">IF(T2="North",1,0)</f>
        <v>0</v>
      </c>
      <c r="AB2" s="4">
        <f t="shared" ref="AB2:AB65" si="2">IF(T2="South",1,0)</f>
        <v>0</v>
      </c>
      <c r="AC2" s="4">
        <f t="shared" ref="AC2:AC65" si="3">IF(T2="West",1,0)</f>
        <v>0</v>
      </c>
    </row>
    <row r="3" spans="1:29">
      <c r="A3" s="3" t="s">
        <v>14</v>
      </c>
      <c r="B3" s="5">
        <v>45689</v>
      </c>
      <c r="C3" s="3" t="s">
        <v>15</v>
      </c>
      <c r="D3" s="4">
        <f t="shared" ref="D3:D66" si="4">IF(C3="North",1,0)</f>
        <v>0</v>
      </c>
      <c r="E3" s="4">
        <f t="shared" ref="E3:E66" si="5">IF(C3="South",1,0)</f>
        <v>0</v>
      </c>
      <c r="F3" s="4">
        <f t="shared" ref="F3:F66" si="6">IF(C3="West",1,0)</f>
        <v>0</v>
      </c>
      <c r="G3" s="3" t="s">
        <v>16</v>
      </c>
      <c r="H3" s="3">
        <v>43827.89</v>
      </c>
      <c r="I3" s="3">
        <v>8487</v>
      </c>
      <c r="J3" s="3">
        <v>0.16800000000000001</v>
      </c>
      <c r="K3" s="3">
        <v>23</v>
      </c>
      <c r="L3" s="3">
        <v>84.4</v>
      </c>
      <c r="M3" s="3">
        <v>4.3099999999999996</v>
      </c>
      <c r="N3" s="4">
        <f>IF(M3="",MEDIAN($M$2:$M$321),M3)</f>
        <v>4.3099999999999996</v>
      </c>
      <c r="O3" s="3">
        <v>0</v>
      </c>
      <c r="P3" s="3">
        <v>2.8</v>
      </c>
      <c r="Q3" s="4">
        <f t="shared" si="0"/>
        <v>2.8</v>
      </c>
      <c r="R3" s="3">
        <v>634436</v>
      </c>
      <c r="S3" s="3">
        <v>106130.54</v>
      </c>
      <c r="X3" s="3">
        <v>43827.89</v>
      </c>
      <c r="Y3" s="3">
        <v>8487</v>
      </c>
      <c r="Z3" s="3">
        <v>84.4</v>
      </c>
      <c r="AA3" s="4">
        <f t="shared" si="1"/>
        <v>0</v>
      </c>
      <c r="AB3" s="4">
        <f t="shared" si="2"/>
        <v>0</v>
      </c>
      <c r="AC3" s="4">
        <f t="shared" si="3"/>
        <v>0</v>
      </c>
    </row>
    <row r="4" spans="1:29">
      <c r="A4" s="3" t="s">
        <v>14</v>
      </c>
      <c r="B4" s="5">
        <v>45717</v>
      </c>
      <c r="C4" s="3" t="s">
        <v>15</v>
      </c>
      <c r="D4" s="4">
        <f t="shared" si="4"/>
        <v>0</v>
      </c>
      <c r="E4" s="4">
        <f t="shared" si="5"/>
        <v>0</v>
      </c>
      <c r="F4" s="4">
        <f t="shared" si="6"/>
        <v>0</v>
      </c>
      <c r="G4" s="3" t="s">
        <v>16</v>
      </c>
      <c r="H4" s="3">
        <v>59921.75</v>
      </c>
      <c r="I4" s="3">
        <v>9113</v>
      </c>
      <c r="J4" s="3">
        <v>0.13300000000000001</v>
      </c>
      <c r="K4" s="3">
        <v>20</v>
      </c>
      <c r="L4" s="3">
        <v>88</v>
      </c>
      <c r="M4" s="3">
        <v>12</v>
      </c>
      <c r="N4" s="4">
        <f t="shared" ref="N4:N67" si="7">IF(M4="",MEDIAN($M$2:$M$321),M4)</f>
        <v>12</v>
      </c>
      <c r="O4" s="3">
        <v>0</v>
      </c>
      <c r="P4" s="3">
        <v>3.2</v>
      </c>
      <c r="Q4" s="4">
        <f t="shared" si="0"/>
        <v>3.2</v>
      </c>
      <c r="R4" s="3">
        <v>678722.06</v>
      </c>
      <c r="S4" s="3">
        <v>101883.86</v>
      </c>
      <c r="X4" s="3">
        <v>59921.75</v>
      </c>
      <c r="Y4" s="3">
        <v>9113</v>
      </c>
      <c r="Z4" s="3">
        <v>88</v>
      </c>
      <c r="AA4" s="4">
        <f t="shared" si="1"/>
        <v>0</v>
      </c>
      <c r="AB4" s="4">
        <f t="shared" si="2"/>
        <v>0</v>
      </c>
      <c r="AC4" s="4">
        <f t="shared" si="3"/>
        <v>0</v>
      </c>
    </row>
    <row r="5" spans="1:29">
      <c r="A5" s="3" t="s">
        <v>14</v>
      </c>
      <c r="B5" s="5">
        <v>45748</v>
      </c>
      <c r="C5" s="3" t="s">
        <v>15</v>
      </c>
      <c r="D5" s="4">
        <f t="shared" si="4"/>
        <v>0</v>
      </c>
      <c r="E5" s="4">
        <f t="shared" si="5"/>
        <v>0</v>
      </c>
      <c r="F5" s="4">
        <f t="shared" si="6"/>
        <v>0</v>
      </c>
      <c r="G5" s="3" t="s">
        <v>16</v>
      </c>
      <c r="H5" s="3">
        <v>56856.63</v>
      </c>
      <c r="I5" s="3">
        <v>9431</v>
      </c>
      <c r="J5" s="3">
        <v>0.14199999999999999</v>
      </c>
      <c r="K5" s="3">
        <v>23</v>
      </c>
      <c r="L5" s="3">
        <v>86.9</v>
      </c>
      <c r="M5" s="3">
        <v>4.97</v>
      </c>
      <c r="N5" s="4">
        <f t="shared" si="7"/>
        <v>4.97</v>
      </c>
      <c r="O5" s="3">
        <v>0</v>
      </c>
      <c r="P5" s="3">
        <v>3.4</v>
      </c>
      <c r="Q5" s="4">
        <f t="shared" si="0"/>
        <v>3.4</v>
      </c>
      <c r="R5" s="3">
        <v>658920.30000000005</v>
      </c>
      <c r="S5" s="3">
        <v>97910.37</v>
      </c>
      <c r="X5" s="3">
        <v>56856.63</v>
      </c>
      <c r="Y5" s="3">
        <v>9431</v>
      </c>
      <c r="Z5" s="3">
        <v>86.9</v>
      </c>
      <c r="AA5" s="4">
        <f t="shared" si="1"/>
        <v>0</v>
      </c>
      <c r="AB5" s="4">
        <f t="shared" si="2"/>
        <v>0</v>
      </c>
      <c r="AC5" s="4">
        <f t="shared" si="3"/>
        <v>0</v>
      </c>
    </row>
    <row r="6" spans="1:29">
      <c r="A6" s="3" t="s">
        <v>17</v>
      </c>
      <c r="B6" s="5">
        <v>45658</v>
      </c>
      <c r="C6" s="3" t="s">
        <v>15</v>
      </c>
      <c r="D6" s="4">
        <f t="shared" si="4"/>
        <v>0</v>
      </c>
      <c r="E6" s="4">
        <f t="shared" si="5"/>
        <v>0</v>
      </c>
      <c r="F6" s="4">
        <f t="shared" si="6"/>
        <v>0</v>
      </c>
      <c r="G6" s="3" t="s">
        <v>18</v>
      </c>
      <c r="H6" s="3">
        <v>48412.639999999999</v>
      </c>
      <c r="I6" s="3">
        <v>9545</v>
      </c>
      <c r="J6" s="3">
        <v>0.23100000000000001</v>
      </c>
      <c r="K6" s="3">
        <v>21</v>
      </c>
      <c r="L6" s="3">
        <v>97.6</v>
      </c>
      <c r="M6" s="3">
        <v>6.94</v>
      </c>
      <c r="N6" s="4">
        <f t="shared" si="7"/>
        <v>6.94</v>
      </c>
      <c r="O6" s="3">
        <v>1</v>
      </c>
      <c r="P6" s="3">
        <v>4.2</v>
      </c>
      <c r="Q6" s="4">
        <f t="shared" si="0"/>
        <v>4.2</v>
      </c>
      <c r="R6" s="3">
        <v>741341.44</v>
      </c>
      <c r="S6" s="3">
        <v>119208.17</v>
      </c>
      <c r="X6" s="3">
        <v>48412.639999999999</v>
      </c>
      <c r="Y6" s="3">
        <v>9545</v>
      </c>
      <c r="Z6" s="3">
        <v>97.6</v>
      </c>
      <c r="AA6" s="4">
        <f t="shared" si="1"/>
        <v>0</v>
      </c>
      <c r="AB6" s="4">
        <f t="shared" si="2"/>
        <v>0</v>
      </c>
      <c r="AC6" s="4">
        <f t="shared" si="3"/>
        <v>0</v>
      </c>
    </row>
    <row r="7" spans="1:29">
      <c r="A7" s="3" t="s">
        <v>17</v>
      </c>
      <c r="B7" s="5">
        <v>45689</v>
      </c>
      <c r="C7" s="3" t="s">
        <v>15</v>
      </c>
      <c r="D7" s="4">
        <f t="shared" si="4"/>
        <v>0</v>
      </c>
      <c r="E7" s="4">
        <f t="shared" si="5"/>
        <v>0</v>
      </c>
      <c r="F7" s="4">
        <f t="shared" si="6"/>
        <v>0</v>
      </c>
      <c r="G7" s="3" t="s">
        <v>18</v>
      </c>
      <c r="H7" s="3">
        <v>64811.21</v>
      </c>
      <c r="I7" s="3">
        <v>9792</v>
      </c>
      <c r="J7" s="3">
        <v>0.112</v>
      </c>
      <c r="K7" s="3">
        <v>20</v>
      </c>
      <c r="L7" s="3">
        <v>84.2</v>
      </c>
      <c r="M7" s="3">
        <v>2.88</v>
      </c>
      <c r="N7" s="4">
        <f t="shared" si="7"/>
        <v>2.88</v>
      </c>
      <c r="O7" s="3">
        <v>0</v>
      </c>
      <c r="P7" s="3">
        <v>4.2</v>
      </c>
      <c r="Q7" s="4">
        <f t="shared" si="0"/>
        <v>4.2</v>
      </c>
      <c r="R7" s="3">
        <v>761835.34</v>
      </c>
      <c r="S7" s="3">
        <v>149602.23000000001</v>
      </c>
      <c r="X7" s="3">
        <v>64811.21</v>
      </c>
      <c r="Y7" s="3">
        <v>9792</v>
      </c>
      <c r="Z7" s="3">
        <v>84.2</v>
      </c>
      <c r="AA7" s="4">
        <f t="shared" si="1"/>
        <v>0</v>
      </c>
      <c r="AB7" s="4">
        <f t="shared" si="2"/>
        <v>0</v>
      </c>
      <c r="AC7" s="4">
        <f t="shared" si="3"/>
        <v>0</v>
      </c>
    </row>
    <row r="8" spans="1:29">
      <c r="A8" s="3" t="s">
        <v>17</v>
      </c>
      <c r="B8" s="5">
        <v>45717</v>
      </c>
      <c r="C8" s="3" t="s">
        <v>15</v>
      </c>
      <c r="D8" s="4">
        <f t="shared" si="4"/>
        <v>0</v>
      </c>
      <c r="E8" s="4">
        <f t="shared" si="5"/>
        <v>0</v>
      </c>
      <c r="F8" s="4">
        <f t="shared" si="6"/>
        <v>0</v>
      </c>
      <c r="G8" s="3" t="s">
        <v>18</v>
      </c>
      <c r="H8" s="3">
        <v>46213.45</v>
      </c>
      <c r="I8" s="3">
        <v>10616</v>
      </c>
      <c r="J8" s="3">
        <v>0.122</v>
      </c>
      <c r="K8" s="3">
        <v>22</v>
      </c>
      <c r="L8" s="3">
        <v>85.2</v>
      </c>
      <c r="M8" s="3">
        <v>0.2</v>
      </c>
      <c r="N8" s="4">
        <f t="shared" si="7"/>
        <v>0.2</v>
      </c>
      <c r="O8" s="3">
        <v>1</v>
      </c>
      <c r="P8" s="3">
        <v>4.0999999999999996</v>
      </c>
      <c r="Q8" s="4">
        <f t="shared" si="0"/>
        <v>4.0999999999999996</v>
      </c>
      <c r="R8" s="3">
        <v>806615.54</v>
      </c>
      <c r="S8" s="3">
        <v>131364.62</v>
      </c>
      <c r="X8" s="3">
        <v>46213.45</v>
      </c>
      <c r="Y8" s="3">
        <v>10616</v>
      </c>
      <c r="Z8" s="3">
        <v>85.2</v>
      </c>
      <c r="AA8" s="4">
        <f t="shared" si="1"/>
        <v>0</v>
      </c>
      <c r="AB8" s="4">
        <f t="shared" si="2"/>
        <v>0</v>
      </c>
      <c r="AC8" s="4">
        <f t="shared" si="3"/>
        <v>0</v>
      </c>
    </row>
    <row r="9" spans="1:29">
      <c r="A9" s="3" t="s">
        <v>17</v>
      </c>
      <c r="B9" s="5">
        <v>45748</v>
      </c>
      <c r="C9" s="3" t="s">
        <v>15</v>
      </c>
      <c r="D9" s="4">
        <f t="shared" si="4"/>
        <v>0</v>
      </c>
      <c r="E9" s="4">
        <f t="shared" si="5"/>
        <v>0</v>
      </c>
      <c r="F9" s="4">
        <f t="shared" si="6"/>
        <v>0</v>
      </c>
      <c r="G9" s="3" t="s">
        <v>18</v>
      </c>
      <c r="H9" s="3">
        <v>68148.52</v>
      </c>
      <c r="I9" s="3">
        <v>8567</v>
      </c>
      <c r="J9" s="3">
        <v>0.127</v>
      </c>
      <c r="K9" s="3">
        <v>23</v>
      </c>
      <c r="L9" s="3">
        <v>95.6</v>
      </c>
      <c r="M9" s="3">
        <v>0.8</v>
      </c>
      <c r="N9" s="4">
        <f t="shared" si="7"/>
        <v>0.8</v>
      </c>
      <c r="O9" s="3">
        <v>0</v>
      </c>
      <c r="P9" s="3">
        <v>3.9</v>
      </c>
      <c r="Q9" s="4">
        <f t="shared" si="0"/>
        <v>3.9</v>
      </c>
      <c r="R9" s="3">
        <v>850164.26</v>
      </c>
      <c r="S9" s="3">
        <v>149262.75</v>
      </c>
      <c r="X9" s="3">
        <v>68148.52</v>
      </c>
      <c r="Y9" s="3">
        <v>8567</v>
      </c>
      <c r="Z9" s="3">
        <v>95.6</v>
      </c>
      <c r="AA9" s="4">
        <f t="shared" si="1"/>
        <v>0</v>
      </c>
      <c r="AB9" s="4">
        <f t="shared" si="2"/>
        <v>0</v>
      </c>
      <c r="AC9" s="4">
        <f t="shared" si="3"/>
        <v>0</v>
      </c>
    </row>
    <row r="10" spans="1:29">
      <c r="A10" s="3" t="s">
        <v>19</v>
      </c>
      <c r="B10" s="5">
        <v>45658</v>
      </c>
      <c r="C10" s="3" t="s">
        <v>20</v>
      </c>
      <c r="D10" s="4">
        <f t="shared" si="4"/>
        <v>1</v>
      </c>
      <c r="E10" s="4">
        <f t="shared" si="5"/>
        <v>0</v>
      </c>
      <c r="F10" s="4">
        <f t="shared" si="6"/>
        <v>0</v>
      </c>
      <c r="G10" s="3" t="s">
        <v>21</v>
      </c>
      <c r="H10" s="3">
        <v>71838.86</v>
      </c>
      <c r="I10" s="3">
        <v>10979</v>
      </c>
      <c r="J10" s="3">
        <v>0.215</v>
      </c>
      <c r="K10" s="3">
        <v>26</v>
      </c>
      <c r="L10" s="3">
        <v>88.6</v>
      </c>
      <c r="M10" s="3">
        <v>7.7</v>
      </c>
      <c r="N10" s="4">
        <f t="shared" si="7"/>
        <v>7.7</v>
      </c>
      <c r="O10" s="3">
        <v>1</v>
      </c>
      <c r="P10" s="3">
        <v>3.8</v>
      </c>
      <c r="Q10" s="4">
        <f t="shared" si="0"/>
        <v>3.8</v>
      </c>
      <c r="R10" s="3">
        <v>930581.7</v>
      </c>
      <c r="S10" s="3">
        <v>136207.98000000001</v>
      </c>
      <c r="X10" s="3">
        <v>71838.86</v>
      </c>
      <c r="Y10" s="3">
        <v>10979</v>
      </c>
      <c r="Z10" s="3">
        <v>88.6</v>
      </c>
      <c r="AA10" s="4">
        <f t="shared" si="1"/>
        <v>0</v>
      </c>
      <c r="AB10" s="4">
        <f t="shared" si="2"/>
        <v>0</v>
      </c>
      <c r="AC10" s="4">
        <f t="shared" si="3"/>
        <v>0</v>
      </c>
    </row>
    <row r="11" spans="1:29">
      <c r="A11" s="3" t="s">
        <v>19</v>
      </c>
      <c r="B11" s="5">
        <v>45689</v>
      </c>
      <c r="C11" s="3" t="s">
        <v>20</v>
      </c>
      <c r="D11" s="4">
        <f t="shared" si="4"/>
        <v>1</v>
      </c>
      <c r="E11" s="4">
        <f t="shared" si="5"/>
        <v>0</v>
      </c>
      <c r="F11" s="4">
        <f t="shared" si="6"/>
        <v>0</v>
      </c>
      <c r="G11" s="3" t="s">
        <v>21</v>
      </c>
      <c r="H11" s="3">
        <v>68133.440000000002</v>
      </c>
      <c r="I11" s="3">
        <v>9459</v>
      </c>
      <c r="J11" s="3">
        <v>0.22</v>
      </c>
      <c r="K11" s="3">
        <v>21</v>
      </c>
      <c r="L11" s="3">
        <v>85</v>
      </c>
      <c r="M11" s="3">
        <v>1.91</v>
      </c>
      <c r="N11" s="4">
        <f t="shared" si="7"/>
        <v>1.91</v>
      </c>
      <c r="O11" s="3">
        <v>0</v>
      </c>
      <c r="P11" s="3">
        <v>4.2</v>
      </c>
      <c r="Q11" s="4">
        <f t="shared" si="0"/>
        <v>4.2</v>
      </c>
      <c r="R11" s="3">
        <v>779010.94</v>
      </c>
      <c r="S11" s="3">
        <v>106328.09</v>
      </c>
      <c r="X11" s="3">
        <v>68133.440000000002</v>
      </c>
      <c r="Y11" s="3">
        <v>9459</v>
      </c>
      <c r="Z11" s="3">
        <v>85</v>
      </c>
      <c r="AA11" s="4">
        <f t="shared" si="1"/>
        <v>0</v>
      </c>
      <c r="AB11" s="4">
        <f t="shared" si="2"/>
        <v>0</v>
      </c>
      <c r="AC11" s="4">
        <f t="shared" si="3"/>
        <v>0</v>
      </c>
    </row>
    <row r="12" spans="1:29">
      <c r="A12" s="3" t="s">
        <v>19</v>
      </c>
      <c r="B12" s="5">
        <v>45717</v>
      </c>
      <c r="C12" s="3" t="s">
        <v>20</v>
      </c>
      <c r="D12" s="4">
        <f t="shared" si="4"/>
        <v>1</v>
      </c>
      <c r="E12" s="4">
        <f t="shared" si="5"/>
        <v>0</v>
      </c>
      <c r="F12" s="4">
        <f t="shared" si="6"/>
        <v>0</v>
      </c>
      <c r="G12" s="3" t="s">
        <v>21</v>
      </c>
      <c r="H12" s="3">
        <v>34285.21</v>
      </c>
      <c r="I12" s="3">
        <v>9172</v>
      </c>
      <c r="J12" s="3">
        <v>0.21299999999999999</v>
      </c>
      <c r="K12" s="3">
        <v>22</v>
      </c>
      <c r="L12" s="3">
        <v>88.3</v>
      </c>
      <c r="M12" s="3">
        <v>10.46</v>
      </c>
      <c r="N12" s="4">
        <f t="shared" si="7"/>
        <v>10.46</v>
      </c>
      <c r="O12" s="3">
        <v>1</v>
      </c>
      <c r="P12" s="3">
        <v>3.8</v>
      </c>
      <c r="Q12" s="4">
        <f t="shared" si="0"/>
        <v>3.8</v>
      </c>
      <c r="R12" s="3">
        <v>723060.76</v>
      </c>
      <c r="S12" s="3">
        <v>123131.24</v>
      </c>
      <c r="X12" s="3">
        <v>34285.21</v>
      </c>
      <c r="Y12" s="3">
        <v>9172</v>
      </c>
      <c r="Z12" s="3">
        <v>88.3</v>
      </c>
      <c r="AA12" s="4">
        <f t="shared" si="1"/>
        <v>0</v>
      </c>
      <c r="AB12" s="4">
        <f t="shared" si="2"/>
        <v>0</v>
      </c>
      <c r="AC12" s="4">
        <f t="shared" si="3"/>
        <v>0</v>
      </c>
    </row>
    <row r="13" spans="1:29">
      <c r="A13" s="3" t="s">
        <v>19</v>
      </c>
      <c r="B13" s="5">
        <v>45748</v>
      </c>
      <c r="C13" s="3" t="s">
        <v>20</v>
      </c>
      <c r="D13" s="4">
        <f t="shared" si="4"/>
        <v>1</v>
      </c>
      <c r="E13" s="4">
        <f t="shared" si="5"/>
        <v>0</v>
      </c>
      <c r="F13" s="4">
        <f t="shared" si="6"/>
        <v>0</v>
      </c>
      <c r="G13" s="3" t="s">
        <v>21</v>
      </c>
      <c r="H13" s="3">
        <v>67979.88</v>
      </c>
      <c r="I13" s="3">
        <v>11230</v>
      </c>
      <c r="J13" s="3">
        <v>2E-3</v>
      </c>
      <c r="K13" s="3">
        <v>28</v>
      </c>
      <c r="L13" s="3">
        <v>85.3</v>
      </c>
      <c r="M13" s="3">
        <v>7.16</v>
      </c>
      <c r="N13" s="4">
        <f t="shared" si="7"/>
        <v>7.16</v>
      </c>
      <c r="O13" s="3">
        <v>0</v>
      </c>
      <c r="P13" s="3">
        <v>3.8</v>
      </c>
      <c r="Q13" s="4">
        <f t="shared" si="0"/>
        <v>3.8</v>
      </c>
      <c r="R13" s="3">
        <v>910791.94</v>
      </c>
      <c r="S13" s="3">
        <v>158891.28</v>
      </c>
      <c r="X13" s="3">
        <v>67979.88</v>
      </c>
      <c r="Y13" s="3">
        <v>11230</v>
      </c>
      <c r="Z13" s="3">
        <v>85.3</v>
      </c>
      <c r="AA13" s="4">
        <f t="shared" si="1"/>
        <v>0</v>
      </c>
      <c r="AB13" s="4">
        <f t="shared" si="2"/>
        <v>0</v>
      </c>
      <c r="AC13" s="4">
        <f t="shared" si="3"/>
        <v>0</v>
      </c>
    </row>
    <row r="14" spans="1:29">
      <c r="A14" s="3" t="s">
        <v>22</v>
      </c>
      <c r="B14" s="5">
        <v>45658</v>
      </c>
      <c r="C14" s="3" t="s">
        <v>15</v>
      </c>
      <c r="D14" s="4">
        <f t="shared" si="4"/>
        <v>0</v>
      </c>
      <c r="E14" s="4">
        <f t="shared" si="5"/>
        <v>0</v>
      </c>
      <c r="F14" s="4">
        <f t="shared" si="6"/>
        <v>0</v>
      </c>
      <c r="G14" s="3" t="s">
        <v>16</v>
      </c>
      <c r="H14" s="3">
        <v>71828.259999999995</v>
      </c>
      <c r="I14" s="3">
        <v>12775</v>
      </c>
      <c r="J14" s="3">
        <v>0.11600000000000001</v>
      </c>
      <c r="K14" s="3">
        <v>30</v>
      </c>
      <c r="L14" s="3">
        <v>81.7</v>
      </c>
      <c r="M14" s="3">
        <v>4.24</v>
      </c>
      <c r="N14" s="4">
        <f t="shared" si="7"/>
        <v>4.24</v>
      </c>
      <c r="O14" s="3">
        <v>1</v>
      </c>
      <c r="P14" s="3">
        <v>4.2</v>
      </c>
      <c r="Q14" s="4">
        <f t="shared" si="0"/>
        <v>4.2</v>
      </c>
      <c r="R14" s="3">
        <v>922168.6</v>
      </c>
      <c r="S14" s="3">
        <v>107494.53</v>
      </c>
      <c r="X14" s="3">
        <v>71828.259999999995</v>
      </c>
      <c r="Y14" s="3">
        <v>12775</v>
      </c>
      <c r="Z14" s="3">
        <v>81.7</v>
      </c>
      <c r="AA14" s="4">
        <f t="shared" si="1"/>
        <v>0</v>
      </c>
      <c r="AB14" s="4">
        <f t="shared" si="2"/>
        <v>0</v>
      </c>
      <c r="AC14" s="4">
        <f t="shared" si="3"/>
        <v>0</v>
      </c>
    </row>
    <row r="15" spans="1:29">
      <c r="A15" s="3" t="s">
        <v>22</v>
      </c>
      <c r="B15" s="5">
        <v>45689</v>
      </c>
      <c r="C15" s="3" t="s">
        <v>15</v>
      </c>
      <c r="D15" s="4">
        <f t="shared" si="4"/>
        <v>0</v>
      </c>
      <c r="E15" s="4">
        <f t="shared" si="5"/>
        <v>0</v>
      </c>
      <c r="F15" s="4">
        <f t="shared" si="6"/>
        <v>0</v>
      </c>
      <c r="G15" s="3" t="s">
        <v>16</v>
      </c>
      <c r="H15" s="3">
        <v>55716.82</v>
      </c>
      <c r="I15" s="3">
        <v>10054</v>
      </c>
      <c r="J15" s="3">
        <v>0.14599999999999999</v>
      </c>
      <c r="K15" s="3">
        <v>24</v>
      </c>
      <c r="L15" s="3">
        <v>84.9</v>
      </c>
      <c r="M15" s="3">
        <v>1.06</v>
      </c>
      <c r="N15" s="4">
        <f t="shared" si="7"/>
        <v>1.06</v>
      </c>
      <c r="O15" s="3">
        <v>0</v>
      </c>
      <c r="P15" s="3">
        <v>4.3</v>
      </c>
      <c r="Q15" s="4">
        <f t="shared" si="0"/>
        <v>4.3</v>
      </c>
      <c r="R15" s="3">
        <v>726606.28</v>
      </c>
      <c r="S15" s="3">
        <v>122729.29</v>
      </c>
      <c r="X15" s="3">
        <v>55716.82</v>
      </c>
      <c r="Y15" s="3">
        <v>10054</v>
      </c>
      <c r="Z15" s="3">
        <v>84.9</v>
      </c>
      <c r="AA15" s="4">
        <f t="shared" si="1"/>
        <v>0</v>
      </c>
      <c r="AB15" s="4">
        <f t="shared" si="2"/>
        <v>0</v>
      </c>
      <c r="AC15" s="4">
        <f t="shared" si="3"/>
        <v>0</v>
      </c>
    </row>
    <row r="16" spans="1:29">
      <c r="A16" s="3" t="s">
        <v>22</v>
      </c>
      <c r="B16" s="5">
        <v>45717</v>
      </c>
      <c r="C16" s="3" t="s">
        <v>15</v>
      </c>
      <c r="D16" s="4">
        <f t="shared" si="4"/>
        <v>0</v>
      </c>
      <c r="E16" s="4">
        <f t="shared" si="5"/>
        <v>0</v>
      </c>
      <c r="F16" s="4">
        <f t="shared" si="6"/>
        <v>0</v>
      </c>
      <c r="G16" s="3" t="s">
        <v>16</v>
      </c>
      <c r="H16" s="3">
        <v>59909.51</v>
      </c>
      <c r="I16" s="3">
        <v>8895</v>
      </c>
      <c r="J16" s="3">
        <v>0.22800000000000001</v>
      </c>
      <c r="K16" s="3">
        <v>23</v>
      </c>
      <c r="L16" s="3">
        <v>88.8</v>
      </c>
      <c r="M16" s="3">
        <v>0.27</v>
      </c>
      <c r="N16" s="4">
        <f t="shared" si="7"/>
        <v>0.27</v>
      </c>
      <c r="O16" s="3">
        <v>0</v>
      </c>
      <c r="P16" s="3">
        <v>4.3</v>
      </c>
      <c r="Q16" s="4">
        <f t="shared" si="0"/>
        <v>4.3</v>
      </c>
      <c r="R16" s="3">
        <v>746501.09</v>
      </c>
      <c r="S16" s="3">
        <v>136816.72</v>
      </c>
      <c r="X16" s="3">
        <v>59909.51</v>
      </c>
      <c r="Y16" s="3">
        <v>8895</v>
      </c>
      <c r="Z16" s="3">
        <v>88.8</v>
      </c>
      <c r="AA16" s="4">
        <f t="shared" si="1"/>
        <v>0</v>
      </c>
      <c r="AB16" s="4">
        <f t="shared" si="2"/>
        <v>0</v>
      </c>
      <c r="AC16" s="4">
        <f t="shared" si="3"/>
        <v>0</v>
      </c>
    </row>
    <row r="17" spans="1:29">
      <c r="A17" s="3" t="s">
        <v>22</v>
      </c>
      <c r="B17" s="5">
        <v>45748</v>
      </c>
      <c r="C17" s="3" t="s">
        <v>15</v>
      </c>
      <c r="D17" s="4">
        <f t="shared" si="4"/>
        <v>0</v>
      </c>
      <c r="E17" s="4">
        <f t="shared" si="5"/>
        <v>0</v>
      </c>
      <c r="F17" s="4">
        <f t="shared" si="6"/>
        <v>0</v>
      </c>
      <c r="G17" s="3" t="s">
        <v>16</v>
      </c>
      <c r="H17" s="3">
        <v>75305.710000000006</v>
      </c>
      <c r="I17" s="3">
        <v>10940</v>
      </c>
      <c r="J17" s="3">
        <v>6.0000000000000001E-3</v>
      </c>
      <c r="K17" s="3">
        <v>26</v>
      </c>
      <c r="L17" s="3">
        <v>76.5</v>
      </c>
      <c r="M17" s="3">
        <v>1.32</v>
      </c>
      <c r="N17" s="4">
        <f t="shared" si="7"/>
        <v>1.32</v>
      </c>
      <c r="O17" s="3">
        <v>0</v>
      </c>
      <c r="P17" s="3">
        <v>4.5</v>
      </c>
      <c r="Q17" s="4">
        <f t="shared" si="0"/>
        <v>4.5</v>
      </c>
      <c r="R17" s="3">
        <v>834017.02</v>
      </c>
      <c r="S17" s="3">
        <v>114745.03</v>
      </c>
      <c r="X17" s="3">
        <v>75305.710000000006</v>
      </c>
      <c r="Y17" s="3">
        <v>10940</v>
      </c>
      <c r="Z17" s="3">
        <v>76.5</v>
      </c>
      <c r="AA17" s="4">
        <f t="shared" si="1"/>
        <v>0</v>
      </c>
      <c r="AB17" s="4">
        <f t="shared" si="2"/>
        <v>0</v>
      </c>
      <c r="AC17" s="4">
        <f t="shared" si="3"/>
        <v>0</v>
      </c>
    </row>
    <row r="18" spans="1:29">
      <c r="A18" s="3" t="s">
        <v>23</v>
      </c>
      <c r="B18" s="5">
        <v>45658</v>
      </c>
      <c r="C18" s="3" t="s">
        <v>24</v>
      </c>
      <c r="D18" s="4">
        <f t="shared" si="4"/>
        <v>0</v>
      </c>
      <c r="E18" s="4">
        <f t="shared" si="5"/>
        <v>1</v>
      </c>
      <c r="F18" s="4">
        <f t="shared" si="6"/>
        <v>0</v>
      </c>
      <c r="G18" s="3" t="s">
        <v>16</v>
      </c>
      <c r="H18" s="3">
        <v>48804.22</v>
      </c>
      <c r="I18" s="3">
        <v>7057</v>
      </c>
      <c r="J18" s="3">
        <v>5.0000000000000001E-3</v>
      </c>
      <c r="K18" s="3">
        <v>15</v>
      </c>
      <c r="L18" s="3">
        <v>87.7</v>
      </c>
      <c r="M18" s="3">
        <v>1.22</v>
      </c>
      <c r="N18" s="4">
        <f t="shared" si="7"/>
        <v>1.22</v>
      </c>
      <c r="O18" s="3">
        <v>0</v>
      </c>
      <c r="P18" s="3">
        <v>3.7</v>
      </c>
      <c r="Q18" s="4">
        <f t="shared" si="0"/>
        <v>3.7</v>
      </c>
      <c r="R18" s="3">
        <v>666152.52</v>
      </c>
      <c r="S18" s="3">
        <v>107490.58</v>
      </c>
      <c r="X18" s="3">
        <v>48804.22</v>
      </c>
      <c r="Y18" s="3">
        <v>7057</v>
      </c>
      <c r="Z18" s="3">
        <v>87.7</v>
      </c>
      <c r="AA18" s="4">
        <f t="shared" si="1"/>
        <v>0</v>
      </c>
      <c r="AB18" s="4">
        <f t="shared" si="2"/>
        <v>0</v>
      </c>
      <c r="AC18" s="4">
        <f t="shared" si="3"/>
        <v>0</v>
      </c>
    </row>
    <row r="19" spans="1:29">
      <c r="A19" s="3" t="s">
        <v>23</v>
      </c>
      <c r="B19" s="5">
        <v>45689</v>
      </c>
      <c r="C19" s="3" t="s">
        <v>24</v>
      </c>
      <c r="D19" s="4">
        <f t="shared" si="4"/>
        <v>0</v>
      </c>
      <c r="E19" s="4">
        <f t="shared" si="5"/>
        <v>1</v>
      </c>
      <c r="F19" s="4">
        <f t="shared" si="6"/>
        <v>0</v>
      </c>
      <c r="G19" s="3" t="s">
        <v>16</v>
      </c>
      <c r="H19" s="3">
        <v>59117.9</v>
      </c>
      <c r="I19" s="3">
        <v>4263</v>
      </c>
      <c r="J19" s="3">
        <v>0.11899999999999999</v>
      </c>
      <c r="K19" s="3">
        <v>9</v>
      </c>
      <c r="L19" s="3">
        <v>87.6</v>
      </c>
      <c r="M19" s="3">
        <v>4.01</v>
      </c>
      <c r="N19" s="4">
        <f t="shared" si="7"/>
        <v>4.01</v>
      </c>
      <c r="O19" s="3">
        <v>0</v>
      </c>
      <c r="P19" s="3">
        <v>3.6</v>
      </c>
      <c r="Q19" s="4">
        <f t="shared" si="0"/>
        <v>3.6</v>
      </c>
      <c r="R19" s="3">
        <v>573155.18999999994</v>
      </c>
      <c r="S19" s="3">
        <v>83680.75</v>
      </c>
      <c r="X19" s="3">
        <v>59117.9</v>
      </c>
      <c r="Y19" s="3">
        <v>4263</v>
      </c>
      <c r="Z19" s="3">
        <v>87.6</v>
      </c>
      <c r="AA19" s="4">
        <f t="shared" si="1"/>
        <v>0</v>
      </c>
      <c r="AB19" s="4">
        <f t="shared" si="2"/>
        <v>0</v>
      </c>
      <c r="AC19" s="4">
        <f t="shared" si="3"/>
        <v>0</v>
      </c>
    </row>
    <row r="20" spans="1:29">
      <c r="A20" s="3" t="s">
        <v>23</v>
      </c>
      <c r="B20" s="5">
        <v>45717</v>
      </c>
      <c r="C20" s="3" t="s">
        <v>24</v>
      </c>
      <c r="D20" s="4">
        <f t="shared" si="4"/>
        <v>0</v>
      </c>
      <c r="E20" s="4">
        <f t="shared" si="5"/>
        <v>1</v>
      </c>
      <c r="F20" s="4">
        <f t="shared" si="6"/>
        <v>0</v>
      </c>
      <c r="G20" s="3" t="s">
        <v>16</v>
      </c>
      <c r="H20" s="3">
        <v>78831.12</v>
      </c>
      <c r="I20" s="3">
        <v>5538</v>
      </c>
      <c r="J20" s="3">
        <v>0</v>
      </c>
      <c r="K20" s="3">
        <v>15</v>
      </c>
      <c r="L20" s="3">
        <v>94.1</v>
      </c>
      <c r="M20" s="3">
        <v>0.2</v>
      </c>
      <c r="N20" s="4">
        <f t="shared" si="7"/>
        <v>0.2</v>
      </c>
      <c r="O20" s="3">
        <v>0</v>
      </c>
      <c r="P20" s="3">
        <v>3.9</v>
      </c>
      <c r="Q20" s="4">
        <f t="shared" si="0"/>
        <v>3.9</v>
      </c>
      <c r="R20" s="3">
        <v>666573.19999999995</v>
      </c>
      <c r="S20" s="3">
        <v>140641.01999999999</v>
      </c>
      <c r="X20" s="3">
        <v>78831.12</v>
      </c>
      <c r="Y20" s="3">
        <v>5538</v>
      </c>
      <c r="Z20" s="3">
        <v>94.1</v>
      </c>
      <c r="AA20" s="4">
        <f t="shared" si="1"/>
        <v>0</v>
      </c>
      <c r="AB20" s="4">
        <f t="shared" si="2"/>
        <v>0</v>
      </c>
      <c r="AC20" s="4">
        <f t="shared" si="3"/>
        <v>0</v>
      </c>
    </row>
    <row r="21" spans="1:29">
      <c r="A21" s="3" t="s">
        <v>23</v>
      </c>
      <c r="B21" s="5">
        <v>45748</v>
      </c>
      <c r="C21" s="3" t="s">
        <v>24</v>
      </c>
      <c r="D21" s="4">
        <f t="shared" si="4"/>
        <v>0</v>
      </c>
      <c r="E21" s="4">
        <f t="shared" si="5"/>
        <v>1</v>
      </c>
      <c r="F21" s="4">
        <f t="shared" si="6"/>
        <v>0</v>
      </c>
      <c r="G21" s="3" t="s">
        <v>16</v>
      </c>
      <c r="H21" s="3">
        <v>41441.93</v>
      </c>
      <c r="I21" s="3">
        <v>4865</v>
      </c>
      <c r="J21" s="3">
        <v>0.158</v>
      </c>
      <c r="K21" s="3">
        <v>16</v>
      </c>
      <c r="L21" s="3">
        <v>88.3</v>
      </c>
      <c r="M21" s="3">
        <v>0.5</v>
      </c>
      <c r="N21" s="4">
        <f t="shared" si="7"/>
        <v>0.5</v>
      </c>
      <c r="O21" s="3">
        <v>0</v>
      </c>
      <c r="P21" s="3">
        <v>4</v>
      </c>
      <c r="Q21" s="4">
        <f t="shared" si="0"/>
        <v>4</v>
      </c>
      <c r="R21" s="3">
        <v>591619.94999999995</v>
      </c>
      <c r="S21" s="3">
        <v>99521.35</v>
      </c>
      <c r="X21" s="3">
        <v>41441.93</v>
      </c>
      <c r="Y21" s="3">
        <v>4865</v>
      </c>
      <c r="Z21" s="3">
        <v>88.3</v>
      </c>
      <c r="AA21" s="4">
        <f t="shared" si="1"/>
        <v>0</v>
      </c>
      <c r="AB21" s="4">
        <f t="shared" si="2"/>
        <v>0</v>
      </c>
      <c r="AC21" s="4">
        <f t="shared" si="3"/>
        <v>0</v>
      </c>
    </row>
    <row r="22" spans="1:29">
      <c r="A22" s="3" t="s">
        <v>25</v>
      </c>
      <c r="B22" s="5">
        <v>45658</v>
      </c>
      <c r="C22" s="3" t="s">
        <v>20</v>
      </c>
      <c r="D22" s="4">
        <f t="shared" si="4"/>
        <v>1</v>
      </c>
      <c r="E22" s="4">
        <f t="shared" si="5"/>
        <v>0</v>
      </c>
      <c r="F22" s="4">
        <f t="shared" si="6"/>
        <v>0</v>
      </c>
      <c r="G22" s="3" t="s">
        <v>16</v>
      </c>
      <c r="H22" s="3">
        <v>30356.28</v>
      </c>
      <c r="I22" s="3">
        <v>2822</v>
      </c>
      <c r="J22" s="3">
        <v>0.23100000000000001</v>
      </c>
      <c r="K22" s="3">
        <v>9</v>
      </c>
      <c r="L22" s="3">
        <v>84.8</v>
      </c>
      <c r="M22" s="3">
        <v>6.95</v>
      </c>
      <c r="N22" s="4">
        <f t="shared" si="7"/>
        <v>6.95</v>
      </c>
      <c r="O22" s="3">
        <v>0</v>
      </c>
      <c r="P22" s="3">
        <v>5</v>
      </c>
      <c r="Q22" s="4">
        <f t="shared" si="0"/>
        <v>5</v>
      </c>
      <c r="R22" s="3">
        <v>415721.82</v>
      </c>
      <c r="S22" s="3">
        <v>61179.15</v>
      </c>
      <c r="X22" s="3">
        <v>30356.28</v>
      </c>
      <c r="Y22" s="3">
        <v>2822</v>
      </c>
      <c r="Z22" s="3">
        <v>84.8</v>
      </c>
      <c r="AA22" s="4">
        <f t="shared" si="1"/>
        <v>0</v>
      </c>
      <c r="AB22" s="4">
        <f t="shared" si="2"/>
        <v>0</v>
      </c>
      <c r="AC22" s="4">
        <f t="shared" si="3"/>
        <v>0</v>
      </c>
    </row>
    <row r="23" spans="1:29">
      <c r="A23" s="3" t="s">
        <v>25</v>
      </c>
      <c r="B23" s="5">
        <v>45689</v>
      </c>
      <c r="C23" s="3" t="s">
        <v>20</v>
      </c>
      <c r="D23" s="4">
        <f t="shared" si="4"/>
        <v>1</v>
      </c>
      <c r="E23" s="4">
        <f t="shared" si="5"/>
        <v>0</v>
      </c>
      <c r="F23" s="4">
        <f t="shared" si="6"/>
        <v>0</v>
      </c>
      <c r="G23" s="3" t="s">
        <v>16</v>
      </c>
      <c r="H23" s="3">
        <v>33518.879999999997</v>
      </c>
      <c r="I23" s="3">
        <v>2121</v>
      </c>
      <c r="J23" s="3">
        <v>0.17599999999999999</v>
      </c>
      <c r="K23" s="3">
        <v>8</v>
      </c>
      <c r="L23" s="3">
        <v>88.5</v>
      </c>
      <c r="M23" s="3">
        <v>0.2</v>
      </c>
      <c r="N23" s="4">
        <f t="shared" si="7"/>
        <v>0.2</v>
      </c>
      <c r="O23" s="3">
        <v>0</v>
      </c>
      <c r="P23" s="3">
        <v>5</v>
      </c>
      <c r="Q23" s="4">
        <f t="shared" si="0"/>
        <v>5</v>
      </c>
      <c r="R23" s="3">
        <v>491905.13</v>
      </c>
      <c r="S23" s="3">
        <v>79212.259999999995</v>
      </c>
      <c r="X23" s="3">
        <v>33518.879999999997</v>
      </c>
      <c r="Y23" s="3">
        <v>2121</v>
      </c>
      <c r="Z23" s="3">
        <v>88.5</v>
      </c>
      <c r="AA23" s="4">
        <f t="shared" si="1"/>
        <v>0</v>
      </c>
      <c r="AB23" s="4">
        <f t="shared" si="2"/>
        <v>0</v>
      </c>
      <c r="AC23" s="4">
        <f t="shared" si="3"/>
        <v>0</v>
      </c>
    </row>
    <row r="24" spans="1:29">
      <c r="A24" s="3" t="s">
        <v>25</v>
      </c>
      <c r="B24" s="5">
        <v>45717</v>
      </c>
      <c r="C24" s="3" t="s">
        <v>20</v>
      </c>
      <c r="D24" s="4">
        <f t="shared" si="4"/>
        <v>1</v>
      </c>
      <c r="E24" s="4">
        <f t="shared" si="5"/>
        <v>0</v>
      </c>
      <c r="F24" s="4">
        <f t="shared" si="6"/>
        <v>0</v>
      </c>
      <c r="G24" s="3" t="s">
        <v>16</v>
      </c>
      <c r="H24" s="3">
        <v>42267.37</v>
      </c>
      <c r="I24" s="3">
        <v>3364</v>
      </c>
      <c r="J24" s="3">
        <v>0.16</v>
      </c>
      <c r="K24" s="3">
        <v>13</v>
      </c>
      <c r="L24" s="3">
        <v>82</v>
      </c>
      <c r="M24" s="3">
        <v>1.61</v>
      </c>
      <c r="N24" s="4">
        <f t="shared" si="7"/>
        <v>1.61</v>
      </c>
      <c r="O24" s="3">
        <v>1</v>
      </c>
      <c r="P24" s="3">
        <v>4.5999999999999996</v>
      </c>
      <c r="Q24" s="4">
        <f t="shared" si="0"/>
        <v>4.5999999999999996</v>
      </c>
      <c r="R24" s="3">
        <v>555929.4</v>
      </c>
      <c r="S24" s="3">
        <v>115201.76</v>
      </c>
      <c r="X24" s="3">
        <v>42267.37</v>
      </c>
      <c r="Y24" s="3">
        <v>3364</v>
      </c>
      <c r="Z24" s="3">
        <v>82</v>
      </c>
      <c r="AA24" s="4">
        <f t="shared" si="1"/>
        <v>0</v>
      </c>
      <c r="AB24" s="4">
        <f t="shared" si="2"/>
        <v>0</v>
      </c>
      <c r="AC24" s="4">
        <f t="shared" si="3"/>
        <v>0</v>
      </c>
    </row>
    <row r="25" spans="1:29">
      <c r="A25" s="3" t="s">
        <v>25</v>
      </c>
      <c r="B25" s="5">
        <v>45748</v>
      </c>
      <c r="C25" s="3" t="s">
        <v>20</v>
      </c>
      <c r="D25" s="4">
        <f t="shared" si="4"/>
        <v>1</v>
      </c>
      <c r="E25" s="4">
        <f t="shared" si="5"/>
        <v>0</v>
      </c>
      <c r="F25" s="4">
        <f t="shared" si="6"/>
        <v>0</v>
      </c>
      <c r="G25" s="3" t="s">
        <v>16</v>
      </c>
      <c r="H25" s="3">
        <v>62060.43</v>
      </c>
      <c r="I25" s="3">
        <v>2613</v>
      </c>
      <c r="J25" s="3">
        <v>0.216</v>
      </c>
      <c r="K25" s="3">
        <v>12</v>
      </c>
      <c r="L25" s="3">
        <v>92.1</v>
      </c>
      <c r="M25" s="3">
        <v>1.55</v>
      </c>
      <c r="N25" s="4">
        <f t="shared" si="7"/>
        <v>1.55</v>
      </c>
      <c r="O25" s="3">
        <v>0</v>
      </c>
      <c r="P25" s="3">
        <v>4.7</v>
      </c>
      <c r="Q25" s="4">
        <f t="shared" si="0"/>
        <v>4.7</v>
      </c>
      <c r="R25" s="3">
        <v>565810.99</v>
      </c>
      <c r="S25" s="3">
        <v>77825.460000000006</v>
      </c>
      <c r="X25" s="3">
        <v>62060.43</v>
      </c>
      <c r="Y25" s="3">
        <v>2613</v>
      </c>
      <c r="Z25" s="3">
        <v>92.1</v>
      </c>
      <c r="AA25" s="4">
        <f t="shared" si="1"/>
        <v>0</v>
      </c>
      <c r="AB25" s="4">
        <f t="shared" si="2"/>
        <v>0</v>
      </c>
      <c r="AC25" s="4">
        <f t="shared" si="3"/>
        <v>0</v>
      </c>
    </row>
    <row r="26" spans="1:29">
      <c r="A26" s="3" t="s">
        <v>26</v>
      </c>
      <c r="B26" s="5">
        <v>45658</v>
      </c>
      <c r="C26" s="3" t="s">
        <v>27</v>
      </c>
      <c r="D26" s="4">
        <f t="shared" si="4"/>
        <v>0</v>
      </c>
      <c r="E26" s="4">
        <f t="shared" si="5"/>
        <v>0</v>
      </c>
      <c r="F26" s="4">
        <f t="shared" si="6"/>
        <v>1</v>
      </c>
      <c r="G26" s="3" t="s">
        <v>28</v>
      </c>
      <c r="H26" s="3">
        <v>57696.69</v>
      </c>
      <c r="I26" s="3">
        <v>10218</v>
      </c>
      <c r="J26" s="3">
        <v>0.121</v>
      </c>
      <c r="K26" s="3">
        <v>25</v>
      </c>
      <c r="L26" s="3">
        <v>94.8</v>
      </c>
      <c r="M26" s="3">
        <v>2.99</v>
      </c>
      <c r="N26" s="4">
        <f t="shared" si="7"/>
        <v>2.99</v>
      </c>
      <c r="O26" s="3">
        <v>0</v>
      </c>
      <c r="P26" s="3">
        <v>3.5</v>
      </c>
      <c r="Q26" s="4">
        <f t="shared" si="0"/>
        <v>3.5</v>
      </c>
      <c r="R26" s="3">
        <v>811771.14</v>
      </c>
      <c r="S26" s="3">
        <v>148756.24</v>
      </c>
      <c r="X26" s="3">
        <v>57696.69</v>
      </c>
      <c r="Y26" s="3">
        <v>10218</v>
      </c>
      <c r="Z26" s="3">
        <v>94.8</v>
      </c>
      <c r="AA26" s="4">
        <f t="shared" si="1"/>
        <v>0</v>
      </c>
      <c r="AB26" s="4">
        <f t="shared" si="2"/>
        <v>0</v>
      </c>
      <c r="AC26" s="4">
        <f t="shared" si="3"/>
        <v>0</v>
      </c>
    </row>
    <row r="27" spans="1:29">
      <c r="A27" s="3" t="s">
        <v>26</v>
      </c>
      <c r="B27" s="5">
        <v>45689</v>
      </c>
      <c r="C27" s="3" t="s">
        <v>27</v>
      </c>
      <c r="D27" s="4">
        <f t="shared" si="4"/>
        <v>0</v>
      </c>
      <c r="E27" s="4">
        <f t="shared" si="5"/>
        <v>0</v>
      </c>
      <c r="F27" s="4">
        <f t="shared" si="6"/>
        <v>1</v>
      </c>
      <c r="G27" s="3" t="s">
        <v>28</v>
      </c>
      <c r="H27" s="3">
        <v>172415.52</v>
      </c>
      <c r="I27" s="3">
        <v>8927</v>
      </c>
      <c r="J27" s="3">
        <v>0.14000000000000001</v>
      </c>
      <c r="K27" s="3">
        <v>22</v>
      </c>
      <c r="L27" s="3">
        <v>86.2</v>
      </c>
      <c r="M27" s="3">
        <v>7.04</v>
      </c>
      <c r="N27" s="4">
        <f t="shared" si="7"/>
        <v>7.04</v>
      </c>
      <c r="O27" s="3">
        <v>0</v>
      </c>
      <c r="P27" s="3">
        <v>3.9</v>
      </c>
      <c r="Q27" s="4">
        <f t="shared" si="0"/>
        <v>3.9</v>
      </c>
      <c r="R27" s="3">
        <v>800451.94</v>
      </c>
      <c r="S27" s="3">
        <v>111572.29</v>
      </c>
      <c r="X27" s="3">
        <v>172415.52</v>
      </c>
      <c r="Y27" s="3">
        <v>8927</v>
      </c>
      <c r="Z27" s="3">
        <v>86.2</v>
      </c>
      <c r="AA27" s="4">
        <f t="shared" si="1"/>
        <v>0</v>
      </c>
      <c r="AB27" s="4">
        <f t="shared" si="2"/>
        <v>0</v>
      </c>
      <c r="AC27" s="4">
        <f t="shared" si="3"/>
        <v>0</v>
      </c>
    </row>
    <row r="28" spans="1:29">
      <c r="A28" s="3" t="s">
        <v>26</v>
      </c>
      <c r="B28" s="5">
        <v>45717</v>
      </c>
      <c r="C28" s="3" t="s">
        <v>27</v>
      </c>
      <c r="D28" s="4">
        <f t="shared" si="4"/>
        <v>0</v>
      </c>
      <c r="E28" s="4">
        <f t="shared" si="5"/>
        <v>0</v>
      </c>
      <c r="F28" s="4">
        <f t="shared" si="6"/>
        <v>1</v>
      </c>
      <c r="G28" s="3" t="s">
        <v>28</v>
      </c>
      <c r="H28" s="3">
        <v>55270.52</v>
      </c>
      <c r="I28" s="3">
        <v>9315</v>
      </c>
      <c r="J28" s="3">
        <v>0.16900000000000001</v>
      </c>
      <c r="K28" s="3">
        <v>23</v>
      </c>
      <c r="L28" s="3">
        <v>91.9</v>
      </c>
      <c r="M28" s="3">
        <v>4.9400000000000004</v>
      </c>
      <c r="N28" s="4">
        <f t="shared" si="7"/>
        <v>4.9400000000000004</v>
      </c>
      <c r="O28" s="3">
        <v>0</v>
      </c>
      <c r="P28" s="3">
        <v>4</v>
      </c>
      <c r="Q28" s="4">
        <f t="shared" si="0"/>
        <v>4</v>
      </c>
      <c r="R28" s="3">
        <v>783672.82</v>
      </c>
      <c r="S28" s="3">
        <v>112577.14</v>
      </c>
      <c r="X28" s="3">
        <v>55270.52</v>
      </c>
      <c r="Y28" s="3">
        <v>9315</v>
      </c>
      <c r="Z28" s="3">
        <v>91.9</v>
      </c>
      <c r="AA28" s="4">
        <f t="shared" si="1"/>
        <v>0</v>
      </c>
      <c r="AB28" s="4">
        <f t="shared" si="2"/>
        <v>0</v>
      </c>
      <c r="AC28" s="4">
        <f t="shared" si="3"/>
        <v>0</v>
      </c>
    </row>
    <row r="29" spans="1:29">
      <c r="A29" s="3" t="s">
        <v>26</v>
      </c>
      <c r="B29" s="5">
        <v>45748</v>
      </c>
      <c r="C29" s="3" t="s">
        <v>27</v>
      </c>
      <c r="D29" s="4">
        <f t="shared" si="4"/>
        <v>0</v>
      </c>
      <c r="E29" s="4">
        <f t="shared" si="5"/>
        <v>0</v>
      </c>
      <c r="F29" s="4">
        <f t="shared" si="6"/>
        <v>1</v>
      </c>
      <c r="G29" s="3" t="s">
        <v>28</v>
      </c>
      <c r="H29" s="3">
        <v>52715.1</v>
      </c>
      <c r="I29" s="3">
        <v>7223</v>
      </c>
      <c r="J29" s="3">
        <v>0.122</v>
      </c>
      <c r="K29" s="3">
        <v>16</v>
      </c>
      <c r="L29" s="3">
        <v>84.2</v>
      </c>
      <c r="M29" s="3">
        <v>16.149999999999999</v>
      </c>
      <c r="N29" s="4">
        <f t="shared" si="7"/>
        <v>16.149999999999999</v>
      </c>
      <c r="O29" s="3">
        <v>0</v>
      </c>
      <c r="P29" s="3">
        <v>3.7</v>
      </c>
      <c r="Q29" s="4">
        <f t="shared" si="0"/>
        <v>3.7</v>
      </c>
      <c r="R29" s="3">
        <v>701641.97</v>
      </c>
      <c r="S29" s="3">
        <v>106111.86</v>
      </c>
      <c r="X29" s="3">
        <v>52715.1</v>
      </c>
      <c r="Y29" s="3">
        <v>7223</v>
      </c>
      <c r="Z29" s="3">
        <v>84.2</v>
      </c>
      <c r="AA29" s="4">
        <f t="shared" si="1"/>
        <v>0</v>
      </c>
      <c r="AB29" s="4">
        <f t="shared" si="2"/>
        <v>0</v>
      </c>
      <c r="AC29" s="4">
        <f t="shared" si="3"/>
        <v>0</v>
      </c>
    </row>
    <row r="30" spans="1:29">
      <c r="A30" s="3" t="s">
        <v>29</v>
      </c>
      <c r="B30" s="5">
        <v>45658</v>
      </c>
      <c r="C30" s="3" t="s">
        <v>15</v>
      </c>
      <c r="D30" s="4">
        <f t="shared" si="4"/>
        <v>0</v>
      </c>
      <c r="E30" s="4">
        <f t="shared" si="5"/>
        <v>0</v>
      </c>
      <c r="F30" s="4">
        <f t="shared" si="6"/>
        <v>0</v>
      </c>
      <c r="G30" s="3" t="s">
        <v>16</v>
      </c>
      <c r="H30" s="3">
        <v>68600.62</v>
      </c>
      <c r="I30" s="3">
        <v>3988</v>
      </c>
      <c r="J30" s="3">
        <v>0.124</v>
      </c>
      <c r="K30" s="3">
        <v>11</v>
      </c>
      <c r="L30" s="3">
        <v>85</v>
      </c>
      <c r="M30" s="3">
        <v>0.48</v>
      </c>
      <c r="N30" s="4">
        <f t="shared" si="7"/>
        <v>0.48</v>
      </c>
      <c r="O30" s="3">
        <v>0</v>
      </c>
      <c r="P30" s="3">
        <v>3.6</v>
      </c>
      <c r="Q30" s="4">
        <f t="shared" si="0"/>
        <v>3.6</v>
      </c>
      <c r="R30" s="3">
        <v>511844.41</v>
      </c>
      <c r="S30" s="3">
        <v>72774.44</v>
      </c>
      <c r="X30" s="3">
        <v>68600.62</v>
      </c>
      <c r="Y30" s="3">
        <v>3988</v>
      </c>
      <c r="Z30" s="3">
        <v>85</v>
      </c>
      <c r="AA30" s="4">
        <f t="shared" si="1"/>
        <v>0</v>
      </c>
      <c r="AB30" s="4">
        <f t="shared" si="2"/>
        <v>0</v>
      </c>
      <c r="AC30" s="4">
        <f t="shared" si="3"/>
        <v>0</v>
      </c>
    </row>
    <row r="31" spans="1:29">
      <c r="A31" s="3" t="s">
        <v>29</v>
      </c>
      <c r="B31" s="5">
        <v>45689</v>
      </c>
      <c r="C31" s="3" t="s">
        <v>15</v>
      </c>
      <c r="D31" s="4">
        <f t="shared" si="4"/>
        <v>0</v>
      </c>
      <c r="E31" s="4">
        <f t="shared" si="5"/>
        <v>0</v>
      </c>
      <c r="F31" s="4">
        <f t="shared" si="6"/>
        <v>0</v>
      </c>
      <c r="G31" s="3" t="s">
        <v>16</v>
      </c>
      <c r="H31" s="3">
        <v>63176.73</v>
      </c>
      <c r="I31" s="3">
        <v>2390</v>
      </c>
      <c r="J31" s="3">
        <v>0.216</v>
      </c>
      <c r="K31" s="3">
        <v>9</v>
      </c>
      <c r="L31" s="3">
        <v>87.5</v>
      </c>
      <c r="M31" s="3">
        <v>0.31</v>
      </c>
      <c r="N31" s="4">
        <f t="shared" si="7"/>
        <v>0.31</v>
      </c>
      <c r="O31" s="3">
        <v>0</v>
      </c>
      <c r="P31" s="3">
        <v>3.1</v>
      </c>
      <c r="Q31" s="4">
        <f t="shared" si="0"/>
        <v>3.1</v>
      </c>
      <c r="R31" s="3">
        <v>537383.79</v>
      </c>
      <c r="S31" s="3">
        <v>63773.27</v>
      </c>
      <c r="X31" s="3">
        <v>63176.73</v>
      </c>
      <c r="Y31" s="3">
        <v>2390</v>
      </c>
      <c r="Z31" s="3">
        <v>87.5</v>
      </c>
      <c r="AA31" s="4">
        <f t="shared" si="1"/>
        <v>0</v>
      </c>
      <c r="AB31" s="4">
        <f t="shared" si="2"/>
        <v>0</v>
      </c>
      <c r="AC31" s="4">
        <f t="shared" si="3"/>
        <v>0</v>
      </c>
    </row>
    <row r="32" spans="1:29">
      <c r="A32" s="3" t="s">
        <v>29</v>
      </c>
      <c r="B32" s="5">
        <v>45717</v>
      </c>
      <c r="C32" s="3" t="s">
        <v>15</v>
      </c>
      <c r="D32" s="4">
        <f t="shared" si="4"/>
        <v>0</v>
      </c>
      <c r="E32" s="4">
        <f t="shared" si="5"/>
        <v>0</v>
      </c>
      <c r="F32" s="4">
        <f t="shared" si="6"/>
        <v>0</v>
      </c>
      <c r="G32" s="3" t="s">
        <v>16</v>
      </c>
      <c r="H32" s="3">
        <v>44970.080000000002</v>
      </c>
      <c r="I32" s="3">
        <v>2471</v>
      </c>
      <c r="J32" s="3">
        <v>0.13600000000000001</v>
      </c>
      <c r="K32" s="3">
        <v>11</v>
      </c>
      <c r="L32" s="3">
        <v>87.6</v>
      </c>
      <c r="M32" s="3">
        <v>3.01</v>
      </c>
      <c r="N32" s="4">
        <f t="shared" si="7"/>
        <v>3.01</v>
      </c>
      <c r="O32" s="3">
        <v>1</v>
      </c>
      <c r="P32" s="3">
        <v>3.7</v>
      </c>
      <c r="Q32" s="4">
        <f t="shared" si="0"/>
        <v>3.7</v>
      </c>
      <c r="R32" s="3">
        <v>500173.02</v>
      </c>
      <c r="S32" s="3">
        <v>70982.05</v>
      </c>
      <c r="X32" s="3">
        <v>44970.080000000002</v>
      </c>
      <c r="Y32" s="3">
        <v>2471</v>
      </c>
      <c r="Z32" s="3">
        <v>87.6</v>
      </c>
      <c r="AA32" s="4">
        <f t="shared" si="1"/>
        <v>0</v>
      </c>
      <c r="AB32" s="4">
        <f t="shared" si="2"/>
        <v>0</v>
      </c>
      <c r="AC32" s="4">
        <f t="shared" si="3"/>
        <v>0</v>
      </c>
    </row>
    <row r="33" spans="1:29">
      <c r="A33" s="3" t="s">
        <v>29</v>
      </c>
      <c r="B33" s="5">
        <v>45748</v>
      </c>
      <c r="C33" s="3" t="s">
        <v>15</v>
      </c>
      <c r="D33" s="4">
        <f t="shared" si="4"/>
        <v>0</v>
      </c>
      <c r="E33" s="4">
        <f t="shared" si="5"/>
        <v>0</v>
      </c>
      <c r="F33" s="4">
        <f t="shared" si="6"/>
        <v>0</v>
      </c>
      <c r="G33" s="3" t="s">
        <v>16</v>
      </c>
      <c r="H33" s="3">
        <v>69816.350000000006</v>
      </c>
      <c r="I33" s="3">
        <v>971</v>
      </c>
      <c r="J33" s="3">
        <v>0.16800000000000001</v>
      </c>
      <c r="K33" s="3">
        <v>5</v>
      </c>
      <c r="L33" s="3">
        <v>89.9</v>
      </c>
      <c r="M33" s="3">
        <v>12.15</v>
      </c>
      <c r="N33" s="4">
        <f t="shared" si="7"/>
        <v>12.15</v>
      </c>
      <c r="O33" s="3">
        <v>0</v>
      </c>
      <c r="P33" s="3">
        <v>3.6</v>
      </c>
      <c r="Q33" s="4">
        <f t="shared" si="0"/>
        <v>3.6</v>
      </c>
      <c r="R33" s="3">
        <v>427917.38</v>
      </c>
      <c r="S33" s="3">
        <v>81824.31</v>
      </c>
      <c r="X33" s="3">
        <v>69816.350000000006</v>
      </c>
      <c r="Y33" s="3">
        <v>971</v>
      </c>
      <c r="Z33" s="3">
        <v>89.9</v>
      </c>
      <c r="AA33" s="4">
        <f t="shared" si="1"/>
        <v>0</v>
      </c>
      <c r="AB33" s="4">
        <f t="shared" si="2"/>
        <v>0</v>
      </c>
      <c r="AC33" s="4">
        <f t="shared" si="3"/>
        <v>0</v>
      </c>
    </row>
    <row r="34" spans="1:29">
      <c r="A34" s="3" t="s">
        <v>30</v>
      </c>
      <c r="B34" s="5">
        <v>45658</v>
      </c>
      <c r="C34" s="3" t="s">
        <v>20</v>
      </c>
      <c r="D34" s="4">
        <f t="shared" si="4"/>
        <v>1</v>
      </c>
      <c r="E34" s="4">
        <f t="shared" si="5"/>
        <v>0</v>
      </c>
      <c r="F34" s="4">
        <f t="shared" si="6"/>
        <v>0</v>
      </c>
      <c r="G34" s="3" t="s">
        <v>16</v>
      </c>
      <c r="H34" s="3">
        <v>54597.83</v>
      </c>
      <c r="I34" s="3">
        <v>9429</v>
      </c>
      <c r="J34" s="3">
        <v>0.188</v>
      </c>
      <c r="K34" s="3">
        <v>21</v>
      </c>
      <c r="L34" s="3">
        <v>83.3</v>
      </c>
      <c r="M34" s="3">
        <v>11.71</v>
      </c>
      <c r="N34" s="4">
        <f t="shared" si="7"/>
        <v>11.71</v>
      </c>
      <c r="O34" s="3">
        <v>0</v>
      </c>
      <c r="P34" s="3">
        <v>4.2</v>
      </c>
      <c r="Q34" s="4">
        <f t="shared" si="0"/>
        <v>4.2</v>
      </c>
      <c r="R34" s="3">
        <v>641865.03</v>
      </c>
      <c r="S34" s="3">
        <v>81342.58</v>
      </c>
      <c r="X34" s="3">
        <v>54597.83</v>
      </c>
      <c r="Y34" s="3">
        <v>9429</v>
      </c>
      <c r="Z34" s="3">
        <v>83.3</v>
      </c>
      <c r="AA34" s="4">
        <f t="shared" si="1"/>
        <v>0</v>
      </c>
      <c r="AB34" s="4">
        <f t="shared" si="2"/>
        <v>0</v>
      </c>
      <c r="AC34" s="4">
        <f t="shared" si="3"/>
        <v>0</v>
      </c>
    </row>
    <row r="35" spans="1:29">
      <c r="A35" s="3" t="s">
        <v>30</v>
      </c>
      <c r="B35" s="5">
        <v>45689</v>
      </c>
      <c r="C35" s="3" t="s">
        <v>20</v>
      </c>
      <c r="D35" s="4">
        <f t="shared" si="4"/>
        <v>1</v>
      </c>
      <c r="E35" s="4">
        <f t="shared" si="5"/>
        <v>0</v>
      </c>
      <c r="F35" s="4">
        <f t="shared" si="6"/>
        <v>0</v>
      </c>
      <c r="G35" s="3" t="s">
        <v>16</v>
      </c>
      <c r="H35" s="3">
        <v>73771.91</v>
      </c>
      <c r="I35" s="3">
        <v>11695</v>
      </c>
      <c r="J35" s="3">
        <v>7.0000000000000007E-2</v>
      </c>
      <c r="K35" s="3">
        <v>25</v>
      </c>
      <c r="L35" s="3">
        <v>84.7</v>
      </c>
      <c r="M35" s="3">
        <v>0.62</v>
      </c>
      <c r="N35" s="4">
        <f t="shared" si="7"/>
        <v>0.62</v>
      </c>
      <c r="O35" s="3">
        <v>0</v>
      </c>
      <c r="P35" s="3"/>
      <c r="Q35" s="4">
        <f t="shared" si="0"/>
        <v>3.9</v>
      </c>
      <c r="R35" s="3">
        <v>799477.76000000001</v>
      </c>
      <c r="S35" s="3">
        <v>164974.41</v>
      </c>
      <c r="X35" s="3">
        <v>73771.91</v>
      </c>
      <c r="Y35" s="3">
        <v>11695</v>
      </c>
      <c r="Z35" s="3">
        <v>84.7</v>
      </c>
      <c r="AA35" s="4">
        <f t="shared" si="1"/>
        <v>0</v>
      </c>
      <c r="AB35" s="4">
        <f t="shared" si="2"/>
        <v>0</v>
      </c>
      <c r="AC35" s="4">
        <f t="shared" si="3"/>
        <v>0</v>
      </c>
    </row>
    <row r="36" spans="1:29">
      <c r="A36" s="3" t="s">
        <v>30</v>
      </c>
      <c r="B36" s="5">
        <v>45717</v>
      </c>
      <c r="C36" s="3" t="s">
        <v>20</v>
      </c>
      <c r="D36" s="4">
        <f t="shared" si="4"/>
        <v>1</v>
      </c>
      <c r="E36" s="4">
        <f t="shared" si="5"/>
        <v>0</v>
      </c>
      <c r="F36" s="4">
        <f t="shared" si="6"/>
        <v>0</v>
      </c>
      <c r="G36" s="3" t="s">
        <v>16</v>
      </c>
      <c r="H36" s="3">
        <v>74413.88</v>
      </c>
      <c r="I36" s="3">
        <v>9449</v>
      </c>
      <c r="J36" s="3">
        <v>3.9E-2</v>
      </c>
      <c r="K36" s="3">
        <v>23</v>
      </c>
      <c r="L36" s="3">
        <v>92.1</v>
      </c>
      <c r="M36" s="3">
        <v>2.12</v>
      </c>
      <c r="N36" s="4">
        <f t="shared" si="7"/>
        <v>2.12</v>
      </c>
      <c r="O36" s="3">
        <v>0</v>
      </c>
      <c r="P36" s="3">
        <v>3.5</v>
      </c>
      <c r="Q36" s="4">
        <f t="shared" si="0"/>
        <v>3.5</v>
      </c>
      <c r="R36" s="3">
        <v>798952.17</v>
      </c>
      <c r="S36" s="3">
        <v>161499.04</v>
      </c>
      <c r="X36" s="3">
        <v>74413.88</v>
      </c>
      <c r="Y36" s="3">
        <v>9449</v>
      </c>
      <c r="Z36" s="3">
        <v>92.1</v>
      </c>
      <c r="AA36" s="4">
        <f t="shared" si="1"/>
        <v>0</v>
      </c>
      <c r="AB36" s="4">
        <f t="shared" si="2"/>
        <v>0</v>
      </c>
      <c r="AC36" s="4">
        <f t="shared" si="3"/>
        <v>0</v>
      </c>
    </row>
    <row r="37" spans="1:29">
      <c r="A37" s="3" t="s">
        <v>30</v>
      </c>
      <c r="B37" s="5">
        <v>45748</v>
      </c>
      <c r="C37" s="3" t="s">
        <v>20</v>
      </c>
      <c r="D37" s="4">
        <f t="shared" si="4"/>
        <v>1</v>
      </c>
      <c r="E37" s="4">
        <f t="shared" si="5"/>
        <v>0</v>
      </c>
      <c r="F37" s="4">
        <f t="shared" si="6"/>
        <v>0</v>
      </c>
      <c r="G37" s="3" t="s">
        <v>16</v>
      </c>
      <c r="H37" s="3">
        <v>52483.77</v>
      </c>
      <c r="I37" s="3">
        <v>10453</v>
      </c>
      <c r="J37" s="3">
        <v>0.247</v>
      </c>
      <c r="K37" s="3">
        <v>25</v>
      </c>
      <c r="L37" s="3">
        <v>99</v>
      </c>
      <c r="M37" s="3">
        <v>6.31</v>
      </c>
      <c r="N37" s="4">
        <f t="shared" si="7"/>
        <v>6.31</v>
      </c>
      <c r="O37" s="3">
        <v>0</v>
      </c>
      <c r="P37" s="3">
        <v>3.6</v>
      </c>
      <c r="Q37" s="4">
        <f t="shared" si="0"/>
        <v>3.6</v>
      </c>
      <c r="R37" s="3">
        <v>800979.78</v>
      </c>
      <c r="S37" s="3">
        <v>149242.26999999999</v>
      </c>
      <c r="X37" s="3">
        <v>52483.77</v>
      </c>
      <c r="Y37" s="3">
        <v>10453</v>
      </c>
      <c r="Z37" s="3">
        <v>99</v>
      </c>
      <c r="AA37" s="4">
        <f t="shared" si="1"/>
        <v>0</v>
      </c>
      <c r="AB37" s="4">
        <f t="shared" si="2"/>
        <v>0</v>
      </c>
      <c r="AC37" s="4">
        <f t="shared" si="3"/>
        <v>0</v>
      </c>
    </row>
    <row r="38" spans="1:29">
      <c r="A38" s="3" t="s">
        <v>31</v>
      </c>
      <c r="B38" s="5">
        <v>45658</v>
      </c>
      <c r="C38" s="3" t="s">
        <v>20</v>
      </c>
      <c r="D38" s="4">
        <f t="shared" si="4"/>
        <v>1</v>
      </c>
      <c r="E38" s="4">
        <f t="shared" si="5"/>
        <v>0</v>
      </c>
      <c r="F38" s="4">
        <f t="shared" si="6"/>
        <v>0</v>
      </c>
      <c r="G38" s="3" t="s">
        <v>28</v>
      </c>
      <c r="H38" s="3">
        <v>75269.87</v>
      </c>
      <c r="I38" s="3">
        <v>8838</v>
      </c>
      <c r="J38" s="3">
        <v>9.1999999999999998E-2</v>
      </c>
      <c r="K38" s="3">
        <v>21</v>
      </c>
      <c r="L38" s="3">
        <v>83.1</v>
      </c>
      <c r="M38" s="3">
        <v>9.56</v>
      </c>
      <c r="N38" s="4">
        <f t="shared" si="7"/>
        <v>9.56</v>
      </c>
      <c r="O38" s="3">
        <v>1</v>
      </c>
      <c r="P38" s="3">
        <v>4.2</v>
      </c>
      <c r="Q38" s="4">
        <f t="shared" si="0"/>
        <v>4.2</v>
      </c>
      <c r="R38" s="3">
        <v>820593.93</v>
      </c>
      <c r="S38" s="3">
        <v>115860.06</v>
      </c>
      <c r="X38" s="3">
        <v>75269.87</v>
      </c>
      <c r="Y38" s="3">
        <v>8838</v>
      </c>
      <c r="Z38" s="3">
        <v>83.1</v>
      </c>
      <c r="AA38" s="4">
        <f t="shared" si="1"/>
        <v>0</v>
      </c>
      <c r="AB38" s="4">
        <f t="shared" si="2"/>
        <v>0</v>
      </c>
      <c r="AC38" s="4">
        <f t="shared" si="3"/>
        <v>0</v>
      </c>
    </row>
    <row r="39" spans="1:29">
      <c r="A39" s="3" t="s">
        <v>31</v>
      </c>
      <c r="B39" s="5">
        <v>45689</v>
      </c>
      <c r="C39" s="3" t="s">
        <v>20</v>
      </c>
      <c r="D39" s="4">
        <f t="shared" si="4"/>
        <v>1</v>
      </c>
      <c r="E39" s="4">
        <f t="shared" si="5"/>
        <v>0</v>
      </c>
      <c r="F39" s="4">
        <f t="shared" si="6"/>
        <v>0</v>
      </c>
      <c r="G39" s="3" t="s">
        <v>28</v>
      </c>
      <c r="H39" s="3">
        <v>61245.41</v>
      </c>
      <c r="I39" s="3">
        <v>8156</v>
      </c>
      <c r="J39" s="3">
        <v>0.156</v>
      </c>
      <c r="K39" s="3">
        <v>19</v>
      </c>
      <c r="L39" s="3">
        <v>92.9</v>
      </c>
      <c r="M39" s="3">
        <v>9.0500000000000007</v>
      </c>
      <c r="N39" s="4">
        <f t="shared" si="7"/>
        <v>9.0500000000000007</v>
      </c>
      <c r="O39" s="3">
        <v>0</v>
      </c>
      <c r="P39" s="3">
        <v>3.8</v>
      </c>
      <c r="Q39" s="4">
        <f t="shared" si="0"/>
        <v>3.8</v>
      </c>
      <c r="R39" s="3">
        <v>718330.53</v>
      </c>
      <c r="S39" s="3">
        <v>93247.9</v>
      </c>
      <c r="X39" s="3">
        <v>61245.41</v>
      </c>
      <c r="Y39" s="3">
        <v>8156</v>
      </c>
      <c r="Z39" s="3">
        <v>92.9</v>
      </c>
      <c r="AA39" s="4">
        <f t="shared" si="1"/>
        <v>0</v>
      </c>
      <c r="AB39" s="4">
        <f t="shared" si="2"/>
        <v>0</v>
      </c>
      <c r="AC39" s="4">
        <f t="shared" si="3"/>
        <v>0</v>
      </c>
    </row>
    <row r="40" spans="1:29">
      <c r="A40" s="3" t="s">
        <v>31</v>
      </c>
      <c r="B40" s="5">
        <v>45717</v>
      </c>
      <c r="C40" s="3" t="s">
        <v>20</v>
      </c>
      <c r="D40" s="4">
        <f t="shared" si="4"/>
        <v>1</v>
      </c>
      <c r="E40" s="4">
        <f t="shared" si="5"/>
        <v>0</v>
      </c>
      <c r="F40" s="4">
        <f t="shared" si="6"/>
        <v>0</v>
      </c>
      <c r="G40" s="3" t="s">
        <v>28</v>
      </c>
      <c r="H40" s="3">
        <v>93381.26</v>
      </c>
      <c r="I40" s="3">
        <v>7562</v>
      </c>
      <c r="J40" s="3">
        <v>0.19800000000000001</v>
      </c>
      <c r="K40" s="3">
        <v>19</v>
      </c>
      <c r="L40" s="3">
        <v>82.9</v>
      </c>
      <c r="M40" s="3">
        <v>5.05</v>
      </c>
      <c r="N40" s="4">
        <f t="shared" si="7"/>
        <v>5.05</v>
      </c>
      <c r="O40" s="3">
        <v>0</v>
      </c>
      <c r="P40" s="3">
        <v>4</v>
      </c>
      <c r="Q40" s="4">
        <f t="shared" si="0"/>
        <v>4</v>
      </c>
      <c r="R40" s="3">
        <v>736633.4</v>
      </c>
      <c r="S40" s="3">
        <v>115654.66</v>
      </c>
      <c r="X40" s="3">
        <v>93381.26</v>
      </c>
      <c r="Y40" s="3">
        <v>7562</v>
      </c>
      <c r="Z40" s="3">
        <v>82.9</v>
      </c>
      <c r="AA40" s="4">
        <f t="shared" si="1"/>
        <v>0</v>
      </c>
      <c r="AB40" s="4">
        <f t="shared" si="2"/>
        <v>0</v>
      </c>
      <c r="AC40" s="4">
        <f t="shared" si="3"/>
        <v>0</v>
      </c>
    </row>
    <row r="41" spans="1:29">
      <c r="A41" s="3" t="s">
        <v>31</v>
      </c>
      <c r="B41" s="5">
        <v>45748</v>
      </c>
      <c r="C41" s="3" t="s">
        <v>20</v>
      </c>
      <c r="D41" s="4">
        <f t="shared" si="4"/>
        <v>1</v>
      </c>
      <c r="E41" s="4">
        <f t="shared" si="5"/>
        <v>0</v>
      </c>
      <c r="F41" s="4">
        <f t="shared" si="6"/>
        <v>0</v>
      </c>
      <c r="G41" s="3" t="s">
        <v>28</v>
      </c>
      <c r="H41" s="3">
        <v>65012.19</v>
      </c>
      <c r="I41" s="3">
        <v>9598</v>
      </c>
      <c r="J41" s="3">
        <v>8.5000000000000006E-2</v>
      </c>
      <c r="K41" s="3">
        <v>24</v>
      </c>
      <c r="L41" s="3">
        <v>98.3</v>
      </c>
      <c r="M41" s="3">
        <v>0.89</v>
      </c>
      <c r="N41" s="4">
        <f t="shared" si="7"/>
        <v>0.89</v>
      </c>
      <c r="O41" s="3">
        <v>0</v>
      </c>
      <c r="P41" s="3">
        <v>3.8</v>
      </c>
      <c r="Q41" s="4">
        <f t="shared" si="0"/>
        <v>3.8</v>
      </c>
      <c r="R41" s="3">
        <v>828623.85</v>
      </c>
      <c r="S41" s="3">
        <v>167320.51999999999</v>
      </c>
      <c r="X41" s="3">
        <v>65012.19</v>
      </c>
      <c r="Y41" s="3">
        <v>9598</v>
      </c>
      <c r="Z41" s="3">
        <v>98.3</v>
      </c>
      <c r="AA41" s="4">
        <f t="shared" si="1"/>
        <v>0</v>
      </c>
      <c r="AB41" s="4">
        <f t="shared" si="2"/>
        <v>0</v>
      </c>
      <c r="AC41" s="4">
        <f t="shared" si="3"/>
        <v>0</v>
      </c>
    </row>
    <row r="42" spans="1:29">
      <c r="A42" s="3" t="s">
        <v>32</v>
      </c>
      <c r="B42" s="5">
        <v>45658</v>
      </c>
      <c r="C42" s="3" t="s">
        <v>15</v>
      </c>
      <c r="D42" s="4">
        <f t="shared" si="4"/>
        <v>0</v>
      </c>
      <c r="E42" s="4">
        <f t="shared" si="5"/>
        <v>0</v>
      </c>
      <c r="F42" s="4">
        <f t="shared" si="6"/>
        <v>0</v>
      </c>
      <c r="G42" s="3" t="s">
        <v>28</v>
      </c>
      <c r="H42" s="3">
        <v>40462.94</v>
      </c>
      <c r="I42" s="3">
        <v>3660</v>
      </c>
      <c r="J42" s="3">
        <v>0.218</v>
      </c>
      <c r="K42" s="3">
        <v>11</v>
      </c>
      <c r="L42" s="3">
        <v>95.2</v>
      </c>
      <c r="M42" s="3">
        <v>5.57</v>
      </c>
      <c r="N42" s="4">
        <f t="shared" si="7"/>
        <v>5.57</v>
      </c>
      <c r="O42" s="3">
        <v>0</v>
      </c>
      <c r="P42" s="3">
        <v>4.4000000000000004</v>
      </c>
      <c r="Q42" s="4">
        <f t="shared" si="0"/>
        <v>4.4000000000000004</v>
      </c>
      <c r="R42" s="3">
        <v>592195.85</v>
      </c>
      <c r="S42" s="3">
        <v>92291.56</v>
      </c>
      <c r="X42" s="3">
        <v>40462.94</v>
      </c>
      <c r="Y42" s="3">
        <v>3660</v>
      </c>
      <c r="Z42" s="3">
        <v>95.2</v>
      </c>
      <c r="AA42" s="4">
        <f t="shared" si="1"/>
        <v>0</v>
      </c>
      <c r="AB42" s="4">
        <f t="shared" si="2"/>
        <v>0</v>
      </c>
      <c r="AC42" s="4">
        <f t="shared" si="3"/>
        <v>0</v>
      </c>
    </row>
    <row r="43" spans="1:29">
      <c r="A43" s="3" t="s">
        <v>32</v>
      </c>
      <c r="B43" s="5">
        <v>45689</v>
      </c>
      <c r="C43" s="3" t="s">
        <v>15</v>
      </c>
      <c r="D43" s="4">
        <f t="shared" si="4"/>
        <v>0</v>
      </c>
      <c r="E43" s="4">
        <f t="shared" si="5"/>
        <v>0</v>
      </c>
      <c r="F43" s="4">
        <f t="shared" si="6"/>
        <v>0</v>
      </c>
      <c r="G43" s="3" t="s">
        <v>28</v>
      </c>
      <c r="H43" s="3">
        <v>46123.88</v>
      </c>
      <c r="I43" s="3">
        <v>3227</v>
      </c>
      <c r="J43" s="3">
        <v>0.14299999999999999</v>
      </c>
      <c r="K43" s="3">
        <v>10</v>
      </c>
      <c r="L43" s="3">
        <v>75.400000000000006</v>
      </c>
      <c r="M43" s="3">
        <v>1.06</v>
      </c>
      <c r="N43" s="4">
        <f t="shared" si="7"/>
        <v>1.06</v>
      </c>
      <c r="O43" s="3">
        <v>0</v>
      </c>
      <c r="P43" s="3">
        <v>4.4000000000000004</v>
      </c>
      <c r="Q43" s="4">
        <f t="shared" si="0"/>
        <v>4.4000000000000004</v>
      </c>
      <c r="R43" s="3">
        <v>532644.46</v>
      </c>
      <c r="S43" s="3">
        <v>60681.32</v>
      </c>
      <c r="X43" s="3">
        <v>46123.88</v>
      </c>
      <c r="Y43" s="3">
        <v>3227</v>
      </c>
      <c r="Z43" s="3">
        <v>75.400000000000006</v>
      </c>
      <c r="AA43" s="4">
        <f t="shared" si="1"/>
        <v>0</v>
      </c>
      <c r="AB43" s="4">
        <f t="shared" si="2"/>
        <v>0</v>
      </c>
      <c r="AC43" s="4">
        <f t="shared" si="3"/>
        <v>0</v>
      </c>
    </row>
    <row r="44" spans="1:29">
      <c r="A44" s="3" t="s">
        <v>32</v>
      </c>
      <c r="B44" s="5">
        <v>45717</v>
      </c>
      <c r="C44" s="3" t="s">
        <v>15</v>
      </c>
      <c r="D44" s="4">
        <f t="shared" si="4"/>
        <v>0</v>
      </c>
      <c r="E44" s="4">
        <f t="shared" si="5"/>
        <v>0</v>
      </c>
      <c r="F44" s="4">
        <f t="shared" si="6"/>
        <v>0</v>
      </c>
      <c r="G44" s="3" t="s">
        <v>28</v>
      </c>
      <c r="H44" s="3">
        <v>68077.539999999994</v>
      </c>
      <c r="I44" s="3">
        <v>3360</v>
      </c>
      <c r="J44" s="3">
        <v>0.128</v>
      </c>
      <c r="K44" s="3">
        <v>14</v>
      </c>
      <c r="L44" s="3">
        <v>88.2</v>
      </c>
      <c r="M44" s="3">
        <v>1.24</v>
      </c>
      <c r="N44" s="4">
        <f t="shared" si="7"/>
        <v>1.24</v>
      </c>
      <c r="O44" s="3">
        <v>1</v>
      </c>
      <c r="P44" s="3">
        <v>4</v>
      </c>
      <c r="Q44" s="4">
        <f t="shared" si="0"/>
        <v>4</v>
      </c>
      <c r="R44" s="3">
        <v>657429.18000000005</v>
      </c>
      <c r="S44" s="3">
        <v>88919.74</v>
      </c>
      <c r="X44" s="3">
        <v>68077.539999999994</v>
      </c>
      <c r="Y44" s="3">
        <v>3360</v>
      </c>
      <c r="Z44" s="3">
        <v>88.2</v>
      </c>
      <c r="AA44" s="4">
        <f t="shared" si="1"/>
        <v>0</v>
      </c>
      <c r="AB44" s="4">
        <f t="shared" si="2"/>
        <v>0</v>
      </c>
      <c r="AC44" s="4">
        <f t="shared" si="3"/>
        <v>0</v>
      </c>
    </row>
    <row r="45" spans="1:29">
      <c r="A45" s="3" t="s">
        <v>32</v>
      </c>
      <c r="B45" s="5">
        <v>45748</v>
      </c>
      <c r="C45" s="3" t="s">
        <v>15</v>
      </c>
      <c r="D45" s="4">
        <f t="shared" si="4"/>
        <v>0</v>
      </c>
      <c r="E45" s="4">
        <f t="shared" si="5"/>
        <v>0</v>
      </c>
      <c r="F45" s="4">
        <f t="shared" si="6"/>
        <v>0</v>
      </c>
      <c r="G45" s="3" t="s">
        <v>28</v>
      </c>
      <c r="H45" s="3">
        <v>64882.14</v>
      </c>
      <c r="I45" s="3">
        <v>3642</v>
      </c>
      <c r="J45" s="3">
        <v>1.9E-2</v>
      </c>
      <c r="K45" s="3">
        <v>13</v>
      </c>
      <c r="L45" s="3">
        <v>87.8</v>
      </c>
      <c r="M45" s="3">
        <v>4.5199999999999996</v>
      </c>
      <c r="N45" s="4">
        <f t="shared" si="7"/>
        <v>4.5199999999999996</v>
      </c>
      <c r="O45" s="3">
        <v>0</v>
      </c>
      <c r="P45" s="3">
        <v>4.2</v>
      </c>
      <c r="Q45" s="4">
        <f t="shared" si="0"/>
        <v>4.2</v>
      </c>
      <c r="R45" s="3">
        <v>605178</v>
      </c>
      <c r="S45" s="3">
        <v>106958.74</v>
      </c>
      <c r="X45" s="3">
        <v>64882.14</v>
      </c>
      <c r="Y45" s="3">
        <v>3642</v>
      </c>
      <c r="Z45" s="3">
        <v>87.8</v>
      </c>
      <c r="AA45" s="4">
        <f t="shared" si="1"/>
        <v>0</v>
      </c>
      <c r="AB45" s="4">
        <f t="shared" si="2"/>
        <v>0</v>
      </c>
      <c r="AC45" s="4">
        <f t="shared" si="3"/>
        <v>0</v>
      </c>
    </row>
    <row r="46" spans="1:29">
      <c r="A46" s="3" t="s">
        <v>33</v>
      </c>
      <c r="B46" s="5">
        <v>45658</v>
      </c>
      <c r="C46" s="3" t="s">
        <v>27</v>
      </c>
      <c r="D46" s="4">
        <f t="shared" si="4"/>
        <v>0</v>
      </c>
      <c r="E46" s="4">
        <f t="shared" si="5"/>
        <v>0</v>
      </c>
      <c r="F46" s="4">
        <f t="shared" si="6"/>
        <v>1</v>
      </c>
      <c r="G46" s="3" t="s">
        <v>16</v>
      </c>
      <c r="H46" s="3">
        <v>138855.51</v>
      </c>
      <c r="I46" s="3">
        <v>5145</v>
      </c>
      <c r="J46" s="3">
        <v>0.06</v>
      </c>
      <c r="K46" s="3">
        <v>17</v>
      </c>
      <c r="L46" s="3">
        <v>88.2</v>
      </c>
      <c r="M46" s="3">
        <v>9.58</v>
      </c>
      <c r="N46" s="4">
        <f t="shared" si="7"/>
        <v>9.58</v>
      </c>
      <c r="O46" s="3">
        <v>0</v>
      </c>
      <c r="P46" s="3">
        <v>3.2</v>
      </c>
      <c r="Q46" s="4">
        <f t="shared" si="0"/>
        <v>3.2</v>
      </c>
      <c r="R46" s="3">
        <v>595467.6</v>
      </c>
      <c r="S46" s="3">
        <v>104276.46</v>
      </c>
      <c r="X46" s="3">
        <v>138855.51</v>
      </c>
      <c r="Y46" s="3">
        <v>5145</v>
      </c>
      <c r="Z46" s="3">
        <v>88.2</v>
      </c>
      <c r="AA46" s="4">
        <f t="shared" si="1"/>
        <v>0</v>
      </c>
      <c r="AB46" s="4">
        <f t="shared" si="2"/>
        <v>0</v>
      </c>
      <c r="AC46" s="4">
        <f t="shared" si="3"/>
        <v>0</v>
      </c>
    </row>
    <row r="47" spans="1:29">
      <c r="A47" s="3" t="s">
        <v>33</v>
      </c>
      <c r="B47" s="5">
        <v>45689</v>
      </c>
      <c r="C47" s="3" t="s">
        <v>27</v>
      </c>
      <c r="D47" s="4">
        <f t="shared" si="4"/>
        <v>0</v>
      </c>
      <c r="E47" s="4">
        <f t="shared" si="5"/>
        <v>0</v>
      </c>
      <c r="F47" s="4">
        <f t="shared" si="6"/>
        <v>1</v>
      </c>
      <c r="G47" s="3" t="s">
        <v>16</v>
      </c>
      <c r="H47" s="3">
        <v>63630.21</v>
      </c>
      <c r="I47" s="3">
        <v>4460</v>
      </c>
      <c r="J47" s="3">
        <v>0.23499999999999999</v>
      </c>
      <c r="K47" s="3">
        <v>14</v>
      </c>
      <c r="L47" s="3">
        <v>98.6</v>
      </c>
      <c r="M47" s="3">
        <v>5.52</v>
      </c>
      <c r="N47" s="4">
        <f t="shared" si="7"/>
        <v>5.52</v>
      </c>
      <c r="O47" s="3">
        <v>0</v>
      </c>
      <c r="P47" s="3">
        <v>3.5</v>
      </c>
      <c r="Q47" s="4">
        <f t="shared" si="0"/>
        <v>3.5</v>
      </c>
      <c r="R47" s="3">
        <v>599603.4</v>
      </c>
      <c r="S47" s="3">
        <v>112685.12</v>
      </c>
      <c r="X47" s="3">
        <v>63630.21</v>
      </c>
      <c r="Y47" s="3">
        <v>4460</v>
      </c>
      <c r="Z47" s="3">
        <v>98.6</v>
      </c>
      <c r="AA47" s="4">
        <f t="shared" si="1"/>
        <v>0</v>
      </c>
      <c r="AB47" s="4">
        <f t="shared" si="2"/>
        <v>0</v>
      </c>
      <c r="AC47" s="4">
        <f t="shared" si="3"/>
        <v>0</v>
      </c>
    </row>
    <row r="48" spans="1:29">
      <c r="A48" s="3" t="s">
        <v>33</v>
      </c>
      <c r="B48" s="5">
        <v>45717</v>
      </c>
      <c r="C48" s="3" t="s">
        <v>27</v>
      </c>
      <c r="D48" s="4">
        <f t="shared" si="4"/>
        <v>0</v>
      </c>
      <c r="E48" s="4">
        <f t="shared" si="5"/>
        <v>0</v>
      </c>
      <c r="F48" s="4">
        <f t="shared" si="6"/>
        <v>1</v>
      </c>
      <c r="G48" s="3" t="s">
        <v>16</v>
      </c>
      <c r="H48" s="3">
        <v>50043.65</v>
      </c>
      <c r="I48" s="3">
        <v>3804</v>
      </c>
      <c r="J48" s="3">
        <v>0.113</v>
      </c>
      <c r="K48" s="3">
        <v>11</v>
      </c>
      <c r="L48" s="3">
        <v>90.9</v>
      </c>
      <c r="M48" s="3">
        <v>2.7</v>
      </c>
      <c r="N48" s="4">
        <f t="shared" si="7"/>
        <v>2.7</v>
      </c>
      <c r="O48" s="3">
        <v>1</v>
      </c>
      <c r="P48" s="3">
        <v>3.2</v>
      </c>
      <c r="Q48" s="4">
        <f t="shared" si="0"/>
        <v>3.2</v>
      </c>
      <c r="R48" s="3">
        <v>614800.09</v>
      </c>
      <c r="S48" s="3">
        <v>100044.2</v>
      </c>
      <c r="X48" s="3">
        <v>50043.65</v>
      </c>
      <c r="Y48" s="3">
        <v>3804</v>
      </c>
      <c r="Z48" s="3">
        <v>90.9</v>
      </c>
      <c r="AA48" s="4">
        <f t="shared" si="1"/>
        <v>0</v>
      </c>
      <c r="AB48" s="4">
        <f t="shared" si="2"/>
        <v>0</v>
      </c>
      <c r="AC48" s="4">
        <f t="shared" si="3"/>
        <v>0</v>
      </c>
    </row>
    <row r="49" spans="1:29">
      <c r="A49" s="3" t="s">
        <v>33</v>
      </c>
      <c r="B49" s="5">
        <v>45748</v>
      </c>
      <c r="C49" s="3" t="s">
        <v>27</v>
      </c>
      <c r="D49" s="4">
        <f t="shared" si="4"/>
        <v>0</v>
      </c>
      <c r="E49" s="4">
        <f t="shared" si="5"/>
        <v>0</v>
      </c>
      <c r="F49" s="4">
        <f t="shared" si="6"/>
        <v>1</v>
      </c>
      <c r="G49" s="3" t="s">
        <v>16</v>
      </c>
      <c r="H49" s="3">
        <v>42093.84</v>
      </c>
      <c r="I49" s="3">
        <v>4074</v>
      </c>
      <c r="J49" s="3">
        <v>0.155</v>
      </c>
      <c r="K49" s="3">
        <v>15</v>
      </c>
      <c r="L49" s="3">
        <v>88</v>
      </c>
      <c r="M49" s="3">
        <v>9.64</v>
      </c>
      <c r="N49" s="4">
        <f t="shared" si="7"/>
        <v>9.64</v>
      </c>
      <c r="O49" s="3">
        <v>0</v>
      </c>
      <c r="P49" s="3">
        <v>3.3</v>
      </c>
      <c r="Q49" s="4">
        <f t="shared" si="0"/>
        <v>3.3</v>
      </c>
      <c r="R49" s="3">
        <v>585365.73</v>
      </c>
      <c r="S49" s="3">
        <v>81011.520000000004</v>
      </c>
      <c r="X49" s="3">
        <v>42093.84</v>
      </c>
      <c r="Y49" s="3">
        <v>4074</v>
      </c>
      <c r="Z49" s="3">
        <v>88</v>
      </c>
      <c r="AA49" s="4">
        <f t="shared" si="1"/>
        <v>0</v>
      </c>
      <c r="AB49" s="4">
        <f t="shared" si="2"/>
        <v>0</v>
      </c>
      <c r="AC49" s="4">
        <f t="shared" si="3"/>
        <v>0</v>
      </c>
    </row>
    <row r="50" spans="1:29">
      <c r="A50" s="3" t="s">
        <v>34</v>
      </c>
      <c r="B50" s="5">
        <v>45658</v>
      </c>
      <c r="C50" s="3" t="s">
        <v>20</v>
      </c>
      <c r="D50" s="4">
        <f t="shared" si="4"/>
        <v>1</v>
      </c>
      <c r="E50" s="4">
        <f t="shared" si="5"/>
        <v>0</v>
      </c>
      <c r="F50" s="4">
        <f t="shared" si="6"/>
        <v>0</v>
      </c>
      <c r="G50" s="3" t="s">
        <v>28</v>
      </c>
      <c r="H50" s="3">
        <v>46624.05</v>
      </c>
      <c r="I50" s="3">
        <v>5104</v>
      </c>
      <c r="J50" s="3">
        <v>0.109</v>
      </c>
      <c r="K50" s="3">
        <v>11</v>
      </c>
      <c r="L50" s="3">
        <v>97.3</v>
      </c>
      <c r="M50" s="3">
        <v>3.49</v>
      </c>
      <c r="N50" s="4">
        <f t="shared" si="7"/>
        <v>3.49</v>
      </c>
      <c r="O50" s="3">
        <v>1</v>
      </c>
      <c r="P50" s="3">
        <v>4.7</v>
      </c>
      <c r="Q50" s="4">
        <f t="shared" si="0"/>
        <v>4.7</v>
      </c>
      <c r="R50" s="3">
        <v>622811.74</v>
      </c>
      <c r="S50" s="3">
        <v>109978.35</v>
      </c>
      <c r="X50" s="3">
        <v>46624.05</v>
      </c>
      <c r="Y50" s="3">
        <v>5104</v>
      </c>
      <c r="Z50" s="3">
        <v>97.3</v>
      </c>
      <c r="AA50" s="4">
        <f t="shared" si="1"/>
        <v>0</v>
      </c>
      <c r="AB50" s="4">
        <f t="shared" si="2"/>
        <v>0</v>
      </c>
      <c r="AC50" s="4">
        <f t="shared" si="3"/>
        <v>0</v>
      </c>
    </row>
    <row r="51" spans="1:29">
      <c r="A51" s="3" t="s">
        <v>34</v>
      </c>
      <c r="B51" s="5">
        <v>45689</v>
      </c>
      <c r="C51" s="3" t="s">
        <v>20</v>
      </c>
      <c r="D51" s="4">
        <f t="shared" si="4"/>
        <v>1</v>
      </c>
      <c r="E51" s="4">
        <f t="shared" si="5"/>
        <v>0</v>
      </c>
      <c r="F51" s="4">
        <f t="shared" si="6"/>
        <v>0</v>
      </c>
      <c r="G51" s="3" t="s">
        <v>28</v>
      </c>
      <c r="H51" s="3">
        <v>49710.29</v>
      </c>
      <c r="I51" s="3">
        <v>5559</v>
      </c>
      <c r="J51" s="3">
        <v>0.218</v>
      </c>
      <c r="K51" s="3">
        <v>14</v>
      </c>
      <c r="L51" s="3">
        <v>71</v>
      </c>
      <c r="M51" s="3">
        <v>9.11</v>
      </c>
      <c r="N51" s="4">
        <f t="shared" si="7"/>
        <v>9.11</v>
      </c>
      <c r="O51" s="3">
        <v>0</v>
      </c>
      <c r="P51" s="3">
        <v>4.5999999999999996</v>
      </c>
      <c r="Q51" s="4">
        <f t="shared" si="0"/>
        <v>4.5999999999999996</v>
      </c>
      <c r="R51" s="3">
        <v>603297.56999999995</v>
      </c>
      <c r="S51" s="3">
        <v>60592.26</v>
      </c>
      <c r="X51" s="3">
        <v>49710.29</v>
      </c>
      <c r="Y51" s="3">
        <v>5559</v>
      </c>
      <c r="Z51" s="3">
        <v>71</v>
      </c>
      <c r="AA51" s="4">
        <f t="shared" si="1"/>
        <v>0</v>
      </c>
      <c r="AB51" s="4">
        <f t="shared" si="2"/>
        <v>0</v>
      </c>
      <c r="AC51" s="4">
        <f t="shared" si="3"/>
        <v>0</v>
      </c>
    </row>
    <row r="52" spans="1:29">
      <c r="A52" s="3" t="s">
        <v>34</v>
      </c>
      <c r="B52" s="5">
        <v>45717</v>
      </c>
      <c r="C52" s="3" t="s">
        <v>20</v>
      </c>
      <c r="D52" s="4">
        <f t="shared" si="4"/>
        <v>1</v>
      </c>
      <c r="E52" s="4">
        <f t="shared" si="5"/>
        <v>0</v>
      </c>
      <c r="F52" s="4">
        <f t="shared" si="6"/>
        <v>0</v>
      </c>
      <c r="G52" s="3" t="s">
        <v>28</v>
      </c>
      <c r="H52" s="3">
        <v>48287.85</v>
      </c>
      <c r="I52" s="3">
        <v>5150</v>
      </c>
      <c r="J52" s="3">
        <v>8.0000000000000002E-3</v>
      </c>
      <c r="K52" s="3">
        <v>12</v>
      </c>
      <c r="L52" s="3">
        <v>80.400000000000006</v>
      </c>
      <c r="M52" s="3">
        <v>7.4</v>
      </c>
      <c r="N52" s="4">
        <f t="shared" si="7"/>
        <v>7.4</v>
      </c>
      <c r="O52" s="3">
        <v>0</v>
      </c>
      <c r="P52" s="3">
        <v>4.5</v>
      </c>
      <c r="Q52" s="4">
        <f t="shared" si="0"/>
        <v>4.5</v>
      </c>
      <c r="R52" s="3">
        <v>625672.86</v>
      </c>
      <c r="S52" s="3">
        <v>118020.12</v>
      </c>
      <c r="X52" s="3">
        <v>48287.85</v>
      </c>
      <c r="Y52" s="3">
        <v>5150</v>
      </c>
      <c r="Z52" s="3">
        <v>80.400000000000006</v>
      </c>
      <c r="AA52" s="4">
        <f t="shared" si="1"/>
        <v>0</v>
      </c>
      <c r="AB52" s="4">
        <f t="shared" si="2"/>
        <v>0</v>
      </c>
      <c r="AC52" s="4">
        <f t="shared" si="3"/>
        <v>0</v>
      </c>
    </row>
    <row r="53" spans="1:29">
      <c r="A53" s="3" t="s">
        <v>34</v>
      </c>
      <c r="B53" s="5">
        <v>45748</v>
      </c>
      <c r="C53" s="3" t="s">
        <v>20</v>
      </c>
      <c r="D53" s="4">
        <f t="shared" si="4"/>
        <v>1</v>
      </c>
      <c r="E53" s="4">
        <f t="shared" si="5"/>
        <v>0</v>
      </c>
      <c r="F53" s="4">
        <f t="shared" si="6"/>
        <v>0</v>
      </c>
      <c r="G53" s="3" t="s">
        <v>28</v>
      </c>
      <c r="H53" s="3">
        <v>65312.49</v>
      </c>
      <c r="I53" s="3">
        <v>7189</v>
      </c>
      <c r="J53" s="3">
        <v>0.05</v>
      </c>
      <c r="K53" s="3">
        <v>19</v>
      </c>
      <c r="L53" s="3">
        <v>93.7</v>
      </c>
      <c r="M53" s="3">
        <v>7.16</v>
      </c>
      <c r="N53" s="4">
        <f t="shared" si="7"/>
        <v>7.16</v>
      </c>
      <c r="O53" s="3">
        <v>0</v>
      </c>
      <c r="P53" s="3">
        <v>4.5999999999999996</v>
      </c>
      <c r="Q53" s="4">
        <f t="shared" si="0"/>
        <v>4.5999999999999996</v>
      </c>
      <c r="R53" s="3">
        <v>773815.14</v>
      </c>
      <c r="S53" s="3">
        <v>133948.39000000001</v>
      </c>
      <c r="X53" s="3">
        <v>65312.49</v>
      </c>
      <c r="Y53" s="3">
        <v>7189</v>
      </c>
      <c r="Z53" s="3">
        <v>93.7</v>
      </c>
      <c r="AA53" s="4">
        <f t="shared" si="1"/>
        <v>0</v>
      </c>
      <c r="AB53" s="4">
        <f t="shared" si="2"/>
        <v>0</v>
      </c>
      <c r="AC53" s="4">
        <f t="shared" si="3"/>
        <v>0</v>
      </c>
    </row>
    <row r="54" spans="1:29">
      <c r="A54" s="3" t="s">
        <v>35</v>
      </c>
      <c r="B54" s="5">
        <v>45658</v>
      </c>
      <c r="C54" s="3" t="s">
        <v>27</v>
      </c>
      <c r="D54" s="4">
        <f t="shared" si="4"/>
        <v>0</v>
      </c>
      <c r="E54" s="4">
        <f t="shared" si="5"/>
        <v>0</v>
      </c>
      <c r="F54" s="4">
        <f t="shared" si="6"/>
        <v>1</v>
      </c>
      <c r="G54" s="3" t="s">
        <v>18</v>
      </c>
      <c r="H54" s="3">
        <v>53015.46</v>
      </c>
      <c r="I54" s="3">
        <v>3279</v>
      </c>
      <c r="J54" s="3">
        <v>8.6999999999999994E-2</v>
      </c>
      <c r="K54" s="3">
        <v>9</v>
      </c>
      <c r="L54" s="3">
        <v>84.3</v>
      </c>
      <c r="M54" s="3">
        <v>22.02</v>
      </c>
      <c r="N54" s="4">
        <f t="shared" si="7"/>
        <v>22.02</v>
      </c>
      <c r="O54" s="3">
        <v>0</v>
      </c>
      <c r="P54" s="3">
        <v>3.9</v>
      </c>
      <c r="Q54" s="4">
        <f t="shared" si="0"/>
        <v>3.9</v>
      </c>
      <c r="R54" s="3">
        <v>463534.25</v>
      </c>
      <c r="S54" s="3">
        <v>81834.539999999994</v>
      </c>
      <c r="X54" s="3">
        <v>53015.46</v>
      </c>
      <c r="Y54" s="3">
        <v>3279</v>
      </c>
      <c r="Z54" s="3">
        <v>84.3</v>
      </c>
      <c r="AA54" s="4">
        <f t="shared" si="1"/>
        <v>0</v>
      </c>
      <c r="AB54" s="4">
        <f t="shared" si="2"/>
        <v>0</v>
      </c>
      <c r="AC54" s="4">
        <f t="shared" si="3"/>
        <v>0</v>
      </c>
    </row>
    <row r="55" spans="1:29">
      <c r="A55" s="3" t="s">
        <v>35</v>
      </c>
      <c r="B55" s="5">
        <v>45689</v>
      </c>
      <c r="C55" s="3" t="s">
        <v>27</v>
      </c>
      <c r="D55" s="4">
        <f t="shared" si="4"/>
        <v>0</v>
      </c>
      <c r="E55" s="4">
        <f t="shared" si="5"/>
        <v>0</v>
      </c>
      <c r="F55" s="4">
        <f t="shared" si="6"/>
        <v>1</v>
      </c>
      <c r="G55" s="3" t="s">
        <v>18</v>
      </c>
      <c r="H55" s="3">
        <v>99874.01</v>
      </c>
      <c r="I55" s="3">
        <v>5887</v>
      </c>
      <c r="J55" s="3">
        <v>0.26200000000000001</v>
      </c>
      <c r="K55" s="3">
        <v>14</v>
      </c>
      <c r="L55" s="3">
        <v>88.7</v>
      </c>
      <c r="M55" s="3">
        <v>6.18</v>
      </c>
      <c r="N55" s="4">
        <f t="shared" si="7"/>
        <v>6.18</v>
      </c>
      <c r="O55" s="3">
        <v>0</v>
      </c>
      <c r="P55" s="3">
        <v>4.7</v>
      </c>
      <c r="Q55" s="4">
        <f t="shared" si="0"/>
        <v>4.7</v>
      </c>
      <c r="R55" s="3">
        <v>746677.75</v>
      </c>
      <c r="S55" s="3">
        <v>122437.84</v>
      </c>
      <c r="X55" s="3">
        <v>99874.01</v>
      </c>
      <c r="Y55" s="3">
        <v>5887</v>
      </c>
      <c r="Z55" s="3">
        <v>88.7</v>
      </c>
      <c r="AA55" s="4">
        <f t="shared" si="1"/>
        <v>0</v>
      </c>
      <c r="AB55" s="4">
        <f t="shared" si="2"/>
        <v>0</v>
      </c>
      <c r="AC55" s="4">
        <f t="shared" si="3"/>
        <v>0</v>
      </c>
    </row>
    <row r="56" spans="1:29">
      <c r="A56" s="3" t="s">
        <v>35</v>
      </c>
      <c r="B56" s="5">
        <v>45717</v>
      </c>
      <c r="C56" s="3" t="s">
        <v>27</v>
      </c>
      <c r="D56" s="4">
        <f t="shared" si="4"/>
        <v>0</v>
      </c>
      <c r="E56" s="4">
        <f t="shared" si="5"/>
        <v>0</v>
      </c>
      <c r="F56" s="4">
        <f t="shared" si="6"/>
        <v>1</v>
      </c>
      <c r="G56" s="3" t="s">
        <v>18</v>
      </c>
      <c r="H56" s="3">
        <v>81195.5</v>
      </c>
      <c r="I56" s="3">
        <v>5516</v>
      </c>
      <c r="J56" s="3">
        <v>0.106</v>
      </c>
      <c r="K56" s="3">
        <v>14</v>
      </c>
      <c r="L56" s="3">
        <v>88</v>
      </c>
      <c r="M56" s="3">
        <v>1.76</v>
      </c>
      <c r="N56" s="4">
        <f t="shared" si="7"/>
        <v>1.76</v>
      </c>
      <c r="O56" s="3">
        <v>0</v>
      </c>
      <c r="P56" s="3">
        <v>4.3</v>
      </c>
      <c r="Q56" s="4">
        <f t="shared" si="0"/>
        <v>4.3</v>
      </c>
      <c r="R56" s="3">
        <v>720852.5</v>
      </c>
      <c r="S56" s="3">
        <v>98565.62</v>
      </c>
      <c r="X56" s="3">
        <v>81195.5</v>
      </c>
      <c r="Y56" s="3">
        <v>5516</v>
      </c>
      <c r="Z56" s="3">
        <v>88</v>
      </c>
      <c r="AA56" s="4">
        <f t="shared" si="1"/>
        <v>0</v>
      </c>
      <c r="AB56" s="4">
        <f t="shared" si="2"/>
        <v>0</v>
      </c>
      <c r="AC56" s="4">
        <f t="shared" si="3"/>
        <v>0</v>
      </c>
    </row>
    <row r="57" spans="1:29">
      <c r="A57" s="3" t="s">
        <v>35</v>
      </c>
      <c r="B57" s="5">
        <v>45748</v>
      </c>
      <c r="C57" s="3" t="s">
        <v>27</v>
      </c>
      <c r="D57" s="4">
        <f t="shared" si="4"/>
        <v>0</v>
      </c>
      <c r="E57" s="4">
        <f t="shared" si="5"/>
        <v>0</v>
      </c>
      <c r="F57" s="4">
        <f t="shared" si="6"/>
        <v>1</v>
      </c>
      <c r="G57" s="3" t="s">
        <v>18</v>
      </c>
      <c r="H57" s="3">
        <v>27808.6</v>
      </c>
      <c r="I57" s="3">
        <v>2863</v>
      </c>
      <c r="J57" s="3">
        <v>0.08</v>
      </c>
      <c r="K57" s="3">
        <v>13</v>
      </c>
      <c r="L57" s="3">
        <v>89.3</v>
      </c>
      <c r="M57" s="3">
        <v>0.47</v>
      </c>
      <c r="N57" s="4">
        <f t="shared" si="7"/>
        <v>0.47</v>
      </c>
      <c r="O57" s="3">
        <v>0</v>
      </c>
      <c r="P57" s="3">
        <v>4.0999999999999996</v>
      </c>
      <c r="Q57" s="4">
        <f t="shared" si="0"/>
        <v>4.0999999999999996</v>
      </c>
      <c r="R57" s="3">
        <v>487464.91</v>
      </c>
      <c r="S57" s="3">
        <v>64562.26</v>
      </c>
      <c r="X57" s="3">
        <v>27808.6</v>
      </c>
      <c r="Y57" s="3">
        <v>2863</v>
      </c>
      <c r="Z57" s="3">
        <v>89.3</v>
      </c>
      <c r="AA57" s="4">
        <f t="shared" si="1"/>
        <v>0</v>
      </c>
      <c r="AB57" s="4">
        <f t="shared" si="2"/>
        <v>0</v>
      </c>
      <c r="AC57" s="4">
        <f t="shared" si="3"/>
        <v>0</v>
      </c>
    </row>
    <row r="58" spans="1:29">
      <c r="A58" s="3" t="s">
        <v>36</v>
      </c>
      <c r="B58" s="5">
        <v>45658</v>
      </c>
      <c r="C58" s="3" t="s">
        <v>15</v>
      </c>
      <c r="D58" s="4">
        <f t="shared" si="4"/>
        <v>0</v>
      </c>
      <c r="E58" s="4">
        <f t="shared" si="5"/>
        <v>0</v>
      </c>
      <c r="F58" s="4">
        <f t="shared" si="6"/>
        <v>0</v>
      </c>
      <c r="G58" s="3" t="s">
        <v>21</v>
      </c>
      <c r="H58" s="3">
        <v>19365.060000000001</v>
      </c>
      <c r="I58" s="3">
        <v>2378</v>
      </c>
      <c r="J58" s="3">
        <v>0</v>
      </c>
      <c r="K58" s="3">
        <v>12</v>
      </c>
      <c r="L58" s="3">
        <v>94.8</v>
      </c>
      <c r="M58" s="3">
        <v>0.2</v>
      </c>
      <c r="N58" s="4">
        <f t="shared" si="7"/>
        <v>0.2</v>
      </c>
      <c r="O58" s="3">
        <v>0</v>
      </c>
      <c r="P58" s="3">
        <v>3.5</v>
      </c>
      <c r="Q58" s="4">
        <f t="shared" si="0"/>
        <v>3.5</v>
      </c>
      <c r="R58" s="3">
        <v>518049.26</v>
      </c>
      <c r="S58" s="3">
        <v>108592.49</v>
      </c>
      <c r="X58" s="3">
        <v>19365.060000000001</v>
      </c>
      <c r="Y58" s="3">
        <v>2378</v>
      </c>
      <c r="Z58" s="3">
        <v>94.8</v>
      </c>
      <c r="AA58" s="4">
        <f t="shared" si="1"/>
        <v>0</v>
      </c>
      <c r="AB58" s="4">
        <f t="shared" si="2"/>
        <v>0</v>
      </c>
      <c r="AC58" s="4">
        <f t="shared" si="3"/>
        <v>0</v>
      </c>
    </row>
    <row r="59" spans="1:29">
      <c r="A59" s="3" t="s">
        <v>36</v>
      </c>
      <c r="B59" s="5">
        <v>45689</v>
      </c>
      <c r="C59" s="3" t="s">
        <v>15</v>
      </c>
      <c r="D59" s="4">
        <f t="shared" si="4"/>
        <v>0</v>
      </c>
      <c r="E59" s="4">
        <f t="shared" si="5"/>
        <v>0</v>
      </c>
      <c r="F59" s="4">
        <f t="shared" si="6"/>
        <v>0</v>
      </c>
      <c r="G59" s="3" t="s">
        <v>21</v>
      </c>
      <c r="H59" s="3">
        <v>59405.68</v>
      </c>
      <c r="I59" s="3">
        <v>2515</v>
      </c>
      <c r="J59" s="3">
        <v>3.9E-2</v>
      </c>
      <c r="K59" s="3">
        <v>12</v>
      </c>
      <c r="L59" s="3">
        <v>76</v>
      </c>
      <c r="M59" s="3">
        <v>5.1100000000000003</v>
      </c>
      <c r="N59" s="4">
        <f t="shared" si="7"/>
        <v>5.1100000000000003</v>
      </c>
      <c r="O59" s="3">
        <v>0</v>
      </c>
      <c r="P59" s="3">
        <v>3.7</v>
      </c>
      <c r="Q59" s="4">
        <f t="shared" si="0"/>
        <v>3.7</v>
      </c>
      <c r="R59" s="3">
        <v>500298.48</v>
      </c>
      <c r="S59" s="3">
        <v>73461.320000000007</v>
      </c>
      <c r="X59" s="3">
        <v>59405.68</v>
      </c>
      <c r="Y59" s="3">
        <v>2515</v>
      </c>
      <c r="Z59" s="3">
        <v>76</v>
      </c>
      <c r="AA59" s="4">
        <f t="shared" si="1"/>
        <v>0</v>
      </c>
      <c r="AB59" s="4">
        <f t="shared" si="2"/>
        <v>0</v>
      </c>
      <c r="AC59" s="4">
        <f t="shared" si="3"/>
        <v>0</v>
      </c>
    </row>
    <row r="60" spans="1:29">
      <c r="A60" s="3" t="s">
        <v>36</v>
      </c>
      <c r="B60" s="5">
        <v>45717</v>
      </c>
      <c r="C60" s="3" t="s">
        <v>15</v>
      </c>
      <c r="D60" s="4">
        <f t="shared" si="4"/>
        <v>0</v>
      </c>
      <c r="E60" s="4">
        <f t="shared" si="5"/>
        <v>0</v>
      </c>
      <c r="F60" s="4">
        <f t="shared" si="6"/>
        <v>0</v>
      </c>
      <c r="G60" s="3" t="s">
        <v>21</v>
      </c>
      <c r="H60" s="3">
        <v>118910.48</v>
      </c>
      <c r="I60" s="3">
        <v>4022</v>
      </c>
      <c r="J60" s="3">
        <v>0.13700000000000001</v>
      </c>
      <c r="K60" s="3">
        <v>11</v>
      </c>
      <c r="L60" s="3">
        <v>87.1</v>
      </c>
      <c r="M60" s="3">
        <v>0.2</v>
      </c>
      <c r="N60" s="4">
        <f t="shared" si="7"/>
        <v>0.2</v>
      </c>
      <c r="O60" s="3">
        <v>0</v>
      </c>
      <c r="P60" s="3">
        <v>3.1</v>
      </c>
      <c r="Q60" s="4">
        <f t="shared" si="0"/>
        <v>3.1</v>
      </c>
      <c r="R60" s="3">
        <v>617291.15</v>
      </c>
      <c r="S60" s="3">
        <v>117782</v>
      </c>
      <c r="X60" s="3">
        <v>118910.48</v>
      </c>
      <c r="Y60" s="3">
        <v>4022</v>
      </c>
      <c r="Z60" s="3">
        <v>87.1</v>
      </c>
      <c r="AA60" s="4">
        <f t="shared" si="1"/>
        <v>0</v>
      </c>
      <c r="AB60" s="4">
        <f t="shared" si="2"/>
        <v>0</v>
      </c>
      <c r="AC60" s="4">
        <f t="shared" si="3"/>
        <v>0</v>
      </c>
    </row>
    <row r="61" spans="1:29">
      <c r="A61" s="3" t="s">
        <v>36</v>
      </c>
      <c r="B61" s="5">
        <v>45748</v>
      </c>
      <c r="C61" s="3" t="s">
        <v>15</v>
      </c>
      <c r="D61" s="4">
        <f t="shared" si="4"/>
        <v>0</v>
      </c>
      <c r="E61" s="4">
        <f t="shared" si="5"/>
        <v>0</v>
      </c>
      <c r="F61" s="4">
        <f t="shared" si="6"/>
        <v>0</v>
      </c>
      <c r="G61" s="3" t="s">
        <v>21</v>
      </c>
      <c r="H61" s="3">
        <v>52952.12</v>
      </c>
      <c r="I61" s="3">
        <v>4377</v>
      </c>
      <c r="J61" s="3">
        <v>9.1999999999999998E-2</v>
      </c>
      <c r="K61" s="3">
        <v>14</v>
      </c>
      <c r="L61" s="3">
        <v>88.6</v>
      </c>
      <c r="M61" s="3">
        <v>13.59</v>
      </c>
      <c r="N61" s="4">
        <f t="shared" si="7"/>
        <v>13.59</v>
      </c>
      <c r="O61" s="3">
        <v>0</v>
      </c>
      <c r="P61" s="3">
        <v>3.1</v>
      </c>
      <c r="Q61" s="4">
        <f t="shared" si="0"/>
        <v>3.1</v>
      </c>
      <c r="R61" s="3">
        <v>553756.43000000005</v>
      </c>
      <c r="S61" s="3">
        <v>86166.77</v>
      </c>
      <c r="X61" s="3">
        <v>52952.12</v>
      </c>
      <c r="Y61" s="3">
        <v>4377</v>
      </c>
      <c r="Z61" s="3">
        <v>88.6</v>
      </c>
      <c r="AA61" s="4">
        <f t="shared" si="1"/>
        <v>0</v>
      </c>
      <c r="AB61" s="4">
        <f t="shared" si="2"/>
        <v>0</v>
      </c>
      <c r="AC61" s="4">
        <f t="shared" si="3"/>
        <v>0</v>
      </c>
    </row>
    <row r="62" spans="1:29">
      <c r="A62" s="3" t="s">
        <v>37</v>
      </c>
      <c r="B62" s="5">
        <v>45658</v>
      </c>
      <c r="C62" s="3" t="s">
        <v>24</v>
      </c>
      <c r="D62" s="4">
        <f t="shared" si="4"/>
        <v>0</v>
      </c>
      <c r="E62" s="4">
        <f t="shared" si="5"/>
        <v>1</v>
      </c>
      <c r="F62" s="4">
        <f t="shared" si="6"/>
        <v>0</v>
      </c>
      <c r="G62" s="3" t="s">
        <v>18</v>
      </c>
      <c r="H62" s="3">
        <v>74907.98</v>
      </c>
      <c r="I62" s="3">
        <v>5306</v>
      </c>
      <c r="J62" s="3">
        <v>6.2E-2</v>
      </c>
      <c r="K62" s="3">
        <v>16</v>
      </c>
      <c r="L62" s="3">
        <v>95.6</v>
      </c>
      <c r="M62" s="3">
        <v>1.02</v>
      </c>
      <c r="N62" s="4">
        <f t="shared" si="7"/>
        <v>1.02</v>
      </c>
      <c r="O62" s="3">
        <v>0</v>
      </c>
      <c r="P62" s="3">
        <v>3.7</v>
      </c>
      <c r="Q62" s="4">
        <f t="shared" si="0"/>
        <v>3.7</v>
      </c>
      <c r="R62" s="3">
        <v>749559.71</v>
      </c>
      <c r="S62" s="3">
        <v>144522.53</v>
      </c>
      <c r="X62" s="3">
        <v>74907.98</v>
      </c>
      <c r="Y62" s="3">
        <v>5306</v>
      </c>
      <c r="Z62" s="3">
        <v>95.6</v>
      </c>
      <c r="AA62" s="4">
        <f t="shared" si="1"/>
        <v>0</v>
      </c>
      <c r="AB62" s="4">
        <f t="shared" si="2"/>
        <v>0</v>
      </c>
      <c r="AC62" s="4">
        <f t="shared" si="3"/>
        <v>0</v>
      </c>
    </row>
    <row r="63" spans="1:29">
      <c r="A63" s="3" t="s">
        <v>37</v>
      </c>
      <c r="B63" s="5">
        <v>45689</v>
      </c>
      <c r="C63" s="3" t="s">
        <v>24</v>
      </c>
      <c r="D63" s="4">
        <f t="shared" si="4"/>
        <v>0</v>
      </c>
      <c r="E63" s="4">
        <f t="shared" si="5"/>
        <v>1</v>
      </c>
      <c r="F63" s="4">
        <f t="shared" si="6"/>
        <v>0</v>
      </c>
      <c r="G63" s="3" t="s">
        <v>18</v>
      </c>
      <c r="H63" s="3">
        <v>37284.660000000003</v>
      </c>
      <c r="I63" s="3">
        <v>3928</v>
      </c>
      <c r="J63" s="3">
        <v>7.3999999999999996E-2</v>
      </c>
      <c r="K63" s="3">
        <v>12</v>
      </c>
      <c r="L63" s="3">
        <v>86.5</v>
      </c>
      <c r="M63" s="3">
        <v>1.64</v>
      </c>
      <c r="N63" s="4">
        <f t="shared" si="7"/>
        <v>1.64</v>
      </c>
      <c r="O63" s="3">
        <v>0</v>
      </c>
      <c r="P63" s="3">
        <v>3.8</v>
      </c>
      <c r="Q63" s="4">
        <f t="shared" si="0"/>
        <v>3.8</v>
      </c>
      <c r="R63" s="3">
        <v>615966.48</v>
      </c>
      <c r="S63" s="3">
        <v>91509.38</v>
      </c>
      <c r="X63" s="3">
        <v>37284.660000000003</v>
      </c>
      <c r="Y63" s="3">
        <v>3928</v>
      </c>
      <c r="Z63" s="3">
        <v>86.5</v>
      </c>
      <c r="AA63" s="4">
        <f t="shared" si="1"/>
        <v>0</v>
      </c>
      <c r="AB63" s="4">
        <f t="shared" si="2"/>
        <v>0</v>
      </c>
      <c r="AC63" s="4">
        <f t="shared" si="3"/>
        <v>0</v>
      </c>
    </row>
    <row r="64" spans="1:29">
      <c r="A64" s="3" t="s">
        <v>37</v>
      </c>
      <c r="B64" s="5">
        <v>45717</v>
      </c>
      <c r="C64" s="3" t="s">
        <v>24</v>
      </c>
      <c r="D64" s="4">
        <f t="shared" si="4"/>
        <v>0</v>
      </c>
      <c r="E64" s="4">
        <f t="shared" si="5"/>
        <v>1</v>
      </c>
      <c r="F64" s="4">
        <f t="shared" si="6"/>
        <v>0</v>
      </c>
      <c r="G64" s="3" t="s">
        <v>18</v>
      </c>
      <c r="H64" s="3">
        <v>50343.19</v>
      </c>
      <c r="I64" s="3">
        <v>3845</v>
      </c>
      <c r="J64" s="3">
        <v>0.113</v>
      </c>
      <c r="K64" s="3">
        <v>9</v>
      </c>
      <c r="L64" s="3">
        <v>88.7</v>
      </c>
      <c r="M64" s="3">
        <v>5.15</v>
      </c>
      <c r="N64" s="4">
        <f t="shared" si="7"/>
        <v>5.15</v>
      </c>
      <c r="O64" s="3">
        <v>0</v>
      </c>
      <c r="P64" s="3">
        <v>3.3</v>
      </c>
      <c r="Q64" s="4">
        <f t="shared" si="0"/>
        <v>3.3</v>
      </c>
      <c r="R64" s="3">
        <v>572011.19999999995</v>
      </c>
      <c r="S64" s="3">
        <v>101409.68</v>
      </c>
      <c r="X64" s="3">
        <v>50343.19</v>
      </c>
      <c r="Y64" s="3">
        <v>3845</v>
      </c>
      <c r="Z64" s="3">
        <v>88.7</v>
      </c>
      <c r="AA64" s="4">
        <f t="shared" si="1"/>
        <v>0</v>
      </c>
      <c r="AB64" s="4">
        <f t="shared" si="2"/>
        <v>0</v>
      </c>
      <c r="AC64" s="4">
        <f t="shared" si="3"/>
        <v>0</v>
      </c>
    </row>
    <row r="65" spans="1:29">
      <c r="A65" s="3" t="s">
        <v>37</v>
      </c>
      <c r="B65" s="5">
        <v>45748</v>
      </c>
      <c r="C65" s="3" t="s">
        <v>24</v>
      </c>
      <c r="D65" s="4">
        <f t="shared" si="4"/>
        <v>0</v>
      </c>
      <c r="E65" s="4">
        <f t="shared" si="5"/>
        <v>1</v>
      </c>
      <c r="F65" s="4">
        <f t="shared" si="6"/>
        <v>0</v>
      </c>
      <c r="G65" s="3" t="s">
        <v>18</v>
      </c>
      <c r="H65" s="3">
        <v>74954.47</v>
      </c>
      <c r="I65" s="3">
        <v>6620</v>
      </c>
      <c r="J65" s="3">
        <v>5.3999999999999999E-2</v>
      </c>
      <c r="K65" s="3">
        <v>17</v>
      </c>
      <c r="L65" s="3">
        <v>91.1</v>
      </c>
      <c r="M65" s="3">
        <v>1.1100000000000001</v>
      </c>
      <c r="N65" s="4">
        <f t="shared" si="7"/>
        <v>1.1100000000000001</v>
      </c>
      <c r="O65" s="3">
        <v>0</v>
      </c>
      <c r="P65" s="3">
        <v>3.5</v>
      </c>
      <c r="Q65" s="4">
        <f t="shared" si="0"/>
        <v>3.5</v>
      </c>
      <c r="R65" s="3">
        <v>761860.19</v>
      </c>
      <c r="S65" s="3">
        <v>133279.38</v>
      </c>
      <c r="X65" s="3">
        <v>74954.47</v>
      </c>
      <c r="Y65" s="3">
        <v>6620</v>
      </c>
      <c r="Z65" s="3">
        <v>91.1</v>
      </c>
      <c r="AA65" s="4">
        <f t="shared" si="1"/>
        <v>0</v>
      </c>
      <c r="AB65" s="4">
        <f t="shared" si="2"/>
        <v>0</v>
      </c>
      <c r="AC65" s="4">
        <f t="shared" si="3"/>
        <v>0</v>
      </c>
    </row>
    <row r="66" spans="1:29">
      <c r="A66" s="3" t="s">
        <v>38</v>
      </c>
      <c r="B66" s="5">
        <v>45658</v>
      </c>
      <c r="C66" s="3" t="s">
        <v>27</v>
      </c>
      <c r="D66" s="4">
        <f t="shared" si="4"/>
        <v>0</v>
      </c>
      <c r="E66" s="4">
        <f t="shared" si="5"/>
        <v>0</v>
      </c>
      <c r="F66" s="4">
        <f t="shared" si="6"/>
        <v>1</v>
      </c>
      <c r="G66" s="3" t="s">
        <v>18</v>
      </c>
      <c r="H66" s="3">
        <v>70040.31</v>
      </c>
      <c r="I66" s="3">
        <v>9175</v>
      </c>
      <c r="J66" s="3">
        <v>0.107</v>
      </c>
      <c r="K66" s="3">
        <v>23</v>
      </c>
      <c r="L66" s="3">
        <v>95.1</v>
      </c>
      <c r="M66" s="3">
        <v>6.08</v>
      </c>
      <c r="N66" s="4">
        <f t="shared" si="7"/>
        <v>6.08</v>
      </c>
      <c r="O66" s="3">
        <v>1</v>
      </c>
      <c r="P66" s="3">
        <v>3.4</v>
      </c>
      <c r="Q66" s="4">
        <f t="shared" ref="Q66:Q129" si="8">IF(P66="",$Q$324,P66)</f>
        <v>3.4</v>
      </c>
      <c r="R66" s="3">
        <v>784502.68</v>
      </c>
      <c r="S66" s="3">
        <v>129519.72</v>
      </c>
      <c r="X66" s="3">
        <v>70040.31</v>
      </c>
      <c r="Y66" s="3">
        <v>9175</v>
      </c>
      <c r="Z66" s="3">
        <v>95.1</v>
      </c>
      <c r="AA66" s="4">
        <f t="shared" ref="AA66:AA129" si="9">IF(T66="North",1,0)</f>
        <v>0</v>
      </c>
      <c r="AB66" s="4">
        <f t="shared" ref="AB66:AB129" si="10">IF(T66="South",1,0)</f>
        <v>0</v>
      </c>
      <c r="AC66" s="4">
        <f t="shared" ref="AC66:AC129" si="11">IF(T66="West",1,0)</f>
        <v>0</v>
      </c>
    </row>
    <row r="67" spans="1:29">
      <c r="A67" s="3" t="s">
        <v>38</v>
      </c>
      <c r="B67" s="5">
        <v>45689</v>
      </c>
      <c r="C67" s="3" t="s">
        <v>27</v>
      </c>
      <c r="D67" s="4">
        <f t="shared" ref="D67:D130" si="12">IF(C67="North",1,0)</f>
        <v>0</v>
      </c>
      <c r="E67" s="4">
        <f t="shared" ref="E67:E130" si="13">IF(C67="South",1,0)</f>
        <v>0</v>
      </c>
      <c r="F67" s="4">
        <f t="shared" ref="F67:F130" si="14">IF(C67="West",1,0)</f>
        <v>1</v>
      </c>
      <c r="G67" s="3" t="s">
        <v>18</v>
      </c>
      <c r="H67" s="3">
        <v>51148.69</v>
      </c>
      <c r="I67" s="3">
        <v>7940</v>
      </c>
      <c r="J67" s="3">
        <v>0.156</v>
      </c>
      <c r="K67" s="3">
        <v>18</v>
      </c>
      <c r="L67" s="3">
        <v>93.3</v>
      </c>
      <c r="M67" s="3">
        <v>10.91</v>
      </c>
      <c r="N67" s="4">
        <f t="shared" si="7"/>
        <v>10.91</v>
      </c>
      <c r="O67" s="3">
        <v>0</v>
      </c>
      <c r="P67" s="3">
        <v>3.6</v>
      </c>
      <c r="Q67" s="4">
        <f t="shared" si="8"/>
        <v>3.6</v>
      </c>
      <c r="R67" s="3">
        <v>717141.55</v>
      </c>
      <c r="S67" s="3">
        <v>134013.60999999999</v>
      </c>
      <c r="X67" s="3">
        <v>51148.69</v>
      </c>
      <c r="Y67" s="3">
        <v>7940</v>
      </c>
      <c r="Z67" s="3">
        <v>93.3</v>
      </c>
      <c r="AA67" s="4">
        <f t="shared" si="9"/>
        <v>0</v>
      </c>
      <c r="AB67" s="4">
        <f t="shared" si="10"/>
        <v>0</v>
      </c>
      <c r="AC67" s="4">
        <f t="shared" si="11"/>
        <v>0</v>
      </c>
    </row>
    <row r="68" spans="1:29">
      <c r="A68" s="3" t="s">
        <v>38</v>
      </c>
      <c r="B68" s="5">
        <v>45717</v>
      </c>
      <c r="C68" s="3" t="s">
        <v>27</v>
      </c>
      <c r="D68" s="4">
        <f t="shared" si="12"/>
        <v>0</v>
      </c>
      <c r="E68" s="4">
        <f t="shared" si="13"/>
        <v>0</v>
      </c>
      <c r="F68" s="4">
        <f t="shared" si="14"/>
        <v>1</v>
      </c>
      <c r="G68" s="3" t="s">
        <v>18</v>
      </c>
      <c r="H68" s="3">
        <v>79346.100000000006</v>
      </c>
      <c r="I68" s="3">
        <v>9628</v>
      </c>
      <c r="J68" s="3">
        <v>0.10199999999999999</v>
      </c>
      <c r="K68" s="3">
        <v>20</v>
      </c>
      <c r="L68" s="3">
        <v>99</v>
      </c>
      <c r="M68" s="3">
        <v>19.010000000000002</v>
      </c>
      <c r="N68" s="4">
        <f t="shared" ref="N68:N105" si="15">IF(M68="",MEDIAN($M$2:$M$321),M68)</f>
        <v>19.010000000000002</v>
      </c>
      <c r="O68" s="3">
        <v>1</v>
      </c>
      <c r="P68" s="3">
        <v>3.2</v>
      </c>
      <c r="Q68" s="4">
        <f t="shared" si="8"/>
        <v>3.2</v>
      </c>
      <c r="R68" s="3">
        <v>685379.08</v>
      </c>
      <c r="S68" s="3">
        <v>106898.82</v>
      </c>
      <c r="X68" s="3">
        <v>79346.100000000006</v>
      </c>
      <c r="Y68" s="3">
        <v>9628</v>
      </c>
      <c r="Z68" s="3">
        <v>99</v>
      </c>
      <c r="AA68" s="4">
        <f t="shared" si="9"/>
        <v>0</v>
      </c>
      <c r="AB68" s="4">
        <f t="shared" si="10"/>
        <v>0</v>
      </c>
      <c r="AC68" s="4">
        <f t="shared" si="11"/>
        <v>0</v>
      </c>
    </row>
    <row r="69" spans="1:29">
      <c r="A69" s="3" t="s">
        <v>38</v>
      </c>
      <c r="B69" s="5">
        <v>45748</v>
      </c>
      <c r="C69" s="3" t="s">
        <v>27</v>
      </c>
      <c r="D69" s="4">
        <f t="shared" si="12"/>
        <v>0</v>
      </c>
      <c r="E69" s="4">
        <f t="shared" si="13"/>
        <v>0</v>
      </c>
      <c r="F69" s="4">
        <f t="shared" si="14"/>
        <v>1</v>
      </c>
      <c r="G69" s="3" t="s">
        <v>18</v>
      </c>
      <c r="H69" s="3">
        <v>42018.400000000001</v>
      </c>
      <c r="I69" s="3">
        <v>8296</v>
      </c>
      <c r="J69" s="3">
        <v>0.115</v>
      </c>
      <c r="K69" s="3">
        <v>17</v>
      </c>
      <c r="L69" s="3">
        <v>91.8</v>
      </c>
      <c r="M69" s="3">
        <v>0.77</v>
      </c>
      <c r="N69" s="4">
        <f t="shared" si="15"/>
        <v>0.77</v>
      </c>
      <c r="O69" s="3">
        <v>0</v>
      </c>
      <c r="P69" s="3">
        <v>3.4</v>
      </c>
      <c r="Q69" s="4">
        <f t="shared" si="8"/>
        <v>3.4</v>
      </c>
      <c r="R69" s="3">
        <v>740496.65</v>
      </c>
      <c r="S69" s="3">
        <v>128020.9</v>
      </c>
      <c r="X69" s="3">
        <v>42018.400000000001</v>
      </c>
      <c r="Y69" s="3">
        <v>8296</v>
      </c>
      <c r="Z69" s="3">
        <v>91.8</v>
      </c>
      <c r="AA69" s="4">
        <f t="shared" si="9"/>
        <v>0</v>
      </c>
      <c r="AB69" s="4">
        <f t="shared" si="10"/>
        <v>0</v>
      </c>
      <c r="AC69" s="4">
        <f t="shared" si="11"/>
        <v>0</v>
      </c>
    </row>
    <row r="70" spans="1:29">
      <c r="A70" s="3" t="s">
        <v>39</v>
      </c>
      <c r="B70" s="5">
        <v>45658</v>
      </c>
      <c r="C70" s="3" t="s">
        <v>15</v>
      </c>
      <c r="D70" s="4">
        <f t="shared" si="12"/>
        <v>0</v>
      </c>
      <c r="E70" s="4">
        <f t="shared" si="13"/>
        <v>0</v>
      </c>
      <c r="F70" s="4">
        <f t="shared" si="14"/>
        <v>0</v>
      </c>
      <c r="G70" s="3" t="s">
        <v>18</v>
      </c>
      <c r="H70" s="3">
        <v>70937.240000000005</v>
      </c>
      <c r="I70" s="3">
        <v>3595</v>
      </c>
      <c r="J70" s="3">
        <v>0.14099999999999999</v>
      </c>
      <c r="K70" s="3">
        <v>11</v>
      </c>
      <c r="L70" s="3">
        <v>88.9</v>
      </c>
      <c r="M70" s="3">
        <v>2.83</v>
      </c>
      <c r="N70" s="4">
        <f t="shared" si="15"/>
        <v>2.83</v>
      </c>
      <c r="O70" s="3">
        <v>1</v>
      </c>
      <c r="P70" s="3">
        <v>3.3</v>
      </c>
      <c r="Q70" s="4">
        <f t="shared" si="8"/>
        <v>3.3</v>
      </c>
      <c r="R70" s="3">
        <v>661927.14</v>
      </c>
      <c r="S70" s="3">
        <v>79218.570000000007</v>
      </c>
      <c r="X70" s="3">
        <v>70937.240000000005</v>
      </c>
      <c r="Y70" s="3">
        <v>3595</v>
      </c>
      <c r="Z70" s="3">
        <v>88.9</v>
      </c>
      <c r="AA70" s="4">
        <f t="shared" si="9"/>
        <v>0</v>
      </c>
      <c r="AB70" s="4">
        <f t="shared" si="10"/>
        <v>0</v>
      </c>
      <c r="AC70" s="4">
        <f t="shared" si="11"/>
        <v>0</v>
      </c>
    </row>
    <row r="71" spans="1:29">
      <c r="A71" s="3" t="s">
        <v>39</v>
      </c>
      <c r="B71" s="5">
        <v>45689</v>
      </c>
      <c r="C71" s="3" t="s">
        <v>15</v>
      </c>
      <c r="D71" s="4">
        <f t="shared" si="12"/>
        <v>0</v>
      </c>
      <c r="E71" s="4">
        <f t="shared" si="13"/>
        <v>0</v>
      </c>
      <c r="F71" s="4">
        <f t="shared" si="14"/>
        <v>0</v>
      </c>
      <c r="G71" s="3" t="s">
        <v>18</v>
      </c>
      <c r="H71" s="3">
        <v>36813.449999999997</v>
      </c>
      <c r="I71" s="3">
        <v>2834</v>
      </c>
      <c r="J71" s="3">
        <v>0.191</v>
      </c>
      <c r="K71" s="3">
        <v>11</v>
      </c>
      <c r="L71" s="3">
        <v>81.8</v>
      </c>
      <c r="M71" s="3">
        <v>2.33</v>
      </c>
      <c r="N71" s="4">
        <f t="shared" si="15"/>
        <v>2.33</v>
      </c>
      <c r="O71" s="3">
        <v>0</v>
      </c>
      <c r="P71" s="3">
        <v>3.3</v>
      </c>
      <c r="Q71" s="4">
        <f t="shared" si="8"/>
        <v>3.3</v>
      </c>
      <c r="R71" s="3">
        <v>479050.5</v>
      </c>
      <c r="S71" s="3">
        <v>53651.11</v>
      </c>
      <c r="X71" s="3">
        <v>36813.449999999997</v>
      </c>
      <c r="Y71" s="3">
        <v>2834</v>
      </c>
      <c r="Z71" s="3">
        <v>81.8</v>
      </c>
      <c r="AA71" s="4">
        <f t="shared" si="9"/>
        <v>0</v>
      </c>
      <c r="AB71" s="4">
        <f t="shared" si="10"/>
        <v>0</v>
      </c>
      <c r="AC71" s="4">
        <f t="shared" si="11"/>
        <v>0</v>
      </c>
    </row>
    <row r="72" spans="1:29">
      <c r="A72" s="3" t="s">
        <v>39</v>
      </c>
      <c r="B72" s="5">
        <v>45717</v>
      </c>
      <c r="C72" s="3" t="s">
        <v>15</v>
      </c>
      <c r="D72" s="4">
        <f t="shared" si="12"/>
        <v>0</v>
      </c>
      <c r="E72" s="4">
        <f t="shared" si="13"/>
        <v>0</v>
      </c>
      <c r="F72" s="4">
        <f t="shared" si="14"/>
        <v>0</v>
      </c>
      <c r="G72" s="3" t="s">
        <v>18</v>
      </c>
      <c r="H72" s="3">
        <v>60571.82</v>
      </c>
      <c r="I72" s="3">
        <v>3193</v>
      </c>
      <c r="J72" s="3">
        <v>0.19700000000000001</v>
      </c>
      <c r="K72" s="3">
        <v>7</v>
      </c>
      <c r="L72" s="3">
        <v>99</v>
      </c>
      <c r="M72" s="3">
        <v>1.43</v>
      </c>
      <c r="N72" s="4">
        <f t="shared" si="15"/>
        <v>1.43</v>
      </c>
      <c r="O72" s="3">
        <v>0</v>
      </c>
      <c r="P72" s="3">
        <v>3.2</v>
      </c>
      <c r="Q72" s="4">
        <f t="shared" si="8"/>
        <v>3.2</v>
      </c>
      <c r="R72" s="3">
        <v>605023.87</v>
      </c>
      <c r="S72" s="3">
        <v>98545.81</v>
      </c>
      <c r="X72" s="3">
        <v>60571.82</v>
      </c>
      <c r="Y72" s="3">
        <v>3193</v>
      </c>
      <c r="Z72" s="3">
        <v>99</v>
      </c>
      <c r="AA72" s="4">
        <f t="shared" si="9"/>
        <v>0</v>
      </c>
      <c r="AB72" s="4">
        <f t="shared" si="10"/>
        <v>0</v>
      </c>
      <c r="AC72" s="4">
        <f t="shared" si="11"/>
        <v>0</v>
      </c>
    </row>
    <row r="73" spans="1:29">
      <c r="A73" s="3" t="s">
        <v>39</v>
      </c>
      <c r="B73" s="5">
        <v>45748</v>
      </c>
      <c r="C73" s="3" t="s">
        <v>15</v>
      </c>
      <c r="D73" s="4">
        <f t="shared" si="12"/>
        <v>0</v>
      </c>
      <c r="E73" s="4">
        <f t="shared" si="13"/>
        <v>0</v>
      </c>
      <c r="F73" s="4">
        <f t="shared" si="14"/>
        <v>0</v>
      </c>
      <c r="G73" s="3" t="s">
        <v>18</v>
      </c>
      <c r="H73" s="3">
        <v>55081.16</v>
      </c>
      <c r="I73" s="3">
        <v>5485</v>
      </c>
      <c r="J73" s="3">
        <v>3.5999999999999997E-2</v>
      </c>
      <c r="K73" s="3">
        <v>12</v>
      </c>
      <c r="L73" s="3">
        <v>88</v>
      </c>
      <c r="M73" s="3"/>
      <c r="N73" s="4">
        <f t="shared" si="15"/>
        <v>3.3650000000000002</v>
      </c>
      <c r="O73" s="3">
        <v>0</v>
      </c>
      <c r="P73" s="3">
        <v>3.5</v>
      </c>
      <c r="Q73" s="4">
        <f t="shared" si="8"/>
        <v>3.5</v>
      </c>
      <c r="R73" s="3">
        <v>674774.09</v>
      </c>
      <c r="S73" s="3">
        <v>141917.59</v>
      </c>
      <c r="X73" s="3">
        <v>55081.16</v>
      </c>
      <c r="Y73" s="3">
        <v>5485</v>
      </c>
      <c r="Z73" s="3">
        <v>88</v>
      </c>
      <c r="AA73" s="4">
        <f t="shared" si="9"/>
        <v>0</v>
      </c>
      <c r="AB73" s="4">
        <f t="shared" si="10"/>
        <v>0</v>
      </c>
      <c r="AC73" s="4">
        <f t="shared" si="11"/>
        <v>0</v>
      </c>
    </row>
    <row r="74" spans="1:29">
      <c r="A74" s="3" t="s">
        <v>40</v>
      </c>
      <c r="B74" s="5">
        <v>45658</v>
      </c>
      <c r="C74" s="3" t="s">
        <v>15</v>
      </c>
      <c r="D74" s="4">
        <f t="shared" si="12"/>
        <v>0</v>
      </c>
      <c r="E74" s="4">
        <f t="shared" si="13"/>
        <v>0</v>
      </c>
      <c r="F74" s="4">
        <f t="shared" si="14"/>
        <v>0</v>
      </c>
      <c r="G74" s="3" t="s">
        <v>16</v>
      </c>
      <c r="H74" s="3">
        <v>46201.46</v>
      </c>
      <c r="I74" s="3">
        <v>5918</v>
      </c>
      <c r="J74" s="3">
        <v>0.27700000000000002</v>
      </c>
      <c r="K74" s="3">
        <v>13</v>
      </c>
      <c r="L74" s="3">
        <v>78.8</v>
      </c>
      <c r="M74" s="3">
        <v>4.91</v>
      </c>
      <c r="N74" s="4">
        <f t="shared" si="15"/>
        <v>4.91</v>
      </c>
      <c r="O74" s="3">
        <v>0</v>
      </c>
      <c r="P74" s="3">
        <v>4.5</v>
      </c>
      <c r="Q74" s="4">
        <f t="shared" si="8"/>
        <v>4.5</v>
      </c>
      <c r="R74" s="3">
        <v>616069.41</v>
      </c>
      <c r="S74" s="3">
        <v>54453.99</v>
      </c>
      <c r="X74" s="3">
        <v>46201.46</v>
      </c>
      <c r="Y74" s="3">
        <v>5918</v>
      </c>
      <c r="Z74" s="3">
        <v>78.8</v>
      </c>
      <c r="AA74" s="4">
        <f t="shared" si="9"/>
        <v>0</v>
      </c>
      <c r="AB74" s="4">
        <f t="shared" si="10"/>
        <v>0</v>
      </c>
      <c r="AC74" s="4">
        <f t="shared" si="11"/>
        <v>0</v>
      </c>
    </row>
    <row r="75" spans="1:29">
      <c r="A75" s="3" t="s">
        <v>40</v>
      </c>
      <c r="B75" s="5">
        <v>45689</v>
      </c>
      <c r="C75" s="3" t="s">
        <v>15</v>
      </c>
      <c r="D75" s="4">
        <f t="shared" si="12"/>
        <v>0</v>
      </c>
      <c r="E75" s="4">
        <f t="shared" si="13"/>
        <v>0</v>
      </c>
      <c r="F75" s="4">
        <f t="shared" si="14"/>
        <v>0</v>
      </c>
      <c r="G75" s="3" t="s">
        <v>16</v>
      </c>
      <c r="H75" s="3">
        <v>53762.92</v>
      </c>
      <c r="I75" s="3">
        <v>6821</v>
      </c>
      <c r="J75" s="3">
        <v>6.6000000000000003E-2</v>
      </c>
      <c r="K75" s="3">
        <v>19</v>
      </c>
      <c r="L75" s="3">
        <v>94.6</v>
      </c>
      <c r="M75" s="3">
        <v>7.03</v>
      </c>
      <c r="N75" s="4">
        <f t="shared" si="15"/>
        <v>7.03</v>
      </c>
      <c r="O75" s="3">
        <v>0</v>
      </c>
      <c r="P75" s="3">
        <v>4.4000000000000004</v>
      </c>
      <c r="Q75" s="4">
        <f t="shared" si="8"/>
        <v>4.4000000000000004</v>
      </c>
      <c r="R75" s="3">
        <v>630829.93999999994</v>
      </c>
      <c r="S75" s="3">
        <v>117090.02</v>
      </c>
      <c r="X75" s="3">
        <v>53762.92</v>
      </c>
      <c r="Y75" s="3">
        <v>6821</v>
      </c>
      <c r="Z75" s="3">
        <v>94.6</v>
      </c>
      <c r="AA75" s="4">
        <f t="shared" si="9"/>
        <v>0</v>
      </c>
      <c r="AB75" s="4">
        <f t="shared" si="10"/>
        <v>0</v>
      </c>
      <c r="AC75" s="4">
        <f t="shared" si="11"/>
        <v>0</v>
      </c>
    </row>
    <row r="76" spans="1:29">
      <c r="A76" s="3" t="s">
        <v>40</v>
      </c>
      <c r="B76" s="5">
        <v>45717</v>
      </c>
      <c r="C76" s="3" t="s">
        <v>15</v>
      </c>
      <c r="D76" s="4">
        <f t="shared" si="12"/>
        <v>0</v>
      </c>
      <c r="E76" s="4">
        <f t="shared" si="13"/>
        <v>0</v>
      </c>
      <c r="F76" s="4">
        <f t="shared" si="14"/>
        <v>0</v>
      </c>
      <c r="G76" s="3" t="s">
        <v>16</v>
      </c>
      <c r="H76" s="3">
        <v>70144.78</v>
      </c>
      <c r="I76" s="3">
        <v>6806</v>
      </c>
      <c r="J76" s="3">
        <v>0.17799999999999999</v>
      </c>
      <c r="K76" s="3">
        <v>20</v>
      </c>
      <c r="L76" s="3">
        <v>93.1</v>
      </c>
      <c r="M76" s="3">
        <v>0.28000000000000003</v>
      </c>
      <c r="N76" s="4">
        <f t="shared" si="15"/>
        <v>0.28000000000000003</v>
      </c>
      <c r="O76" s="3">
        <v>1</v>
      </c>
      <c r="P76" s="3">
        <v>4.3</v>
      </c>
      <c r="Q76" s="4">
        <f t="shared" si="8"/>
        <v>4.3</v>
      </c>
      <c r="R76" s="3">
        <v>788087.68</v>
      </c>
      <c r="S76" s="3">
        <v>116803.42</v>
      </c>
      <c r="X76" s="3">
        <v>70144.78</v>
      </c>
      <c r="Y76" s="3">
        <v>6806</v>
      </c>
      <c r="Z76" s="3">
        <v>93.1</v>
      </c>
      <c r="AA76" s="4">
        <f t="shared" si="9"/>
        <v>0</v>
      </c>
      <c r="AB76" s="4">
        <f t="shared" si="10"/>
        <v>0</v>
      </c>
      <c r="AC76" s="4">
        <f t="shared" si="11"/>
        <v>0</v>
      </c>
    </row>
    <row r="77" spans="1:29">
      <c r="A77" s="3" t="s">
        <v>40</v>
      </c>
      <c r="B77" s="5">
        <v>45748</v>
      </c>
      <c r="C77" s="3" t="s">
        <v>15</v>
      </c>
      <c r="D77" s="4">
        <f t="shared" si="12"/>
        <v>0</v>
      </c>
      <c r="E77" s="4">
        <f t="shared" si="13"/>
        <v>0</v>
      </c>
      <c r="F77" s="4">
        <f t="shared" si="14"/>
        <v>0</v>
      </c>
      <c r="G77" s="3" t="s">
        <v>16</v>
      </c>
      <c r="H77" s="3">
        <v>58749.63</v>
      </c>
      <c r="I77" s="3">
        <v>8252</v>
      </c>
      <c r="J77" s="3">
        <v>0.20300000000000001</v>
      </c>
      <c r="K77" s="3">
        <v>20</v>
      </c>
      <c r="L77" s="3">
        <v>85.2</v>
      </c>
      <c r="M77" s="3">
        <v>3.61</v>
      </c>
      <c r="N77" s="4">
        <f t="shared" si="15"/>
        <v>3.61</v>
      </c>
      <c r="O77" s="3">
        <v>0</v>
      </c>
      <c r="P77" s="3">
        <v>4.5</v>
      </c>
      <c r="Q77" s="4">
        <f t="shared" si="8"/>
        <v>4.5</v>
      </c>
      <c r="R77" s="3">
        <v>680840.36</v>
      </c>
      <c r="S77" s="3">
        <v>68007.679999999993</v>
      </c>
      <c r="X77" s="3">
        <v>58749.63</v>
      </c>
      <c r="Y77" s="3">
        <v>8252</v>
      </c>
      <c r="Z77" s="3">
        <v>85.2</v>
      </c>
      <c r="AA77" s="4">
        <f t="shared" si="9"/>
        <v>0</v>
      </c>
      <c r="AB77" s="4">
        <f t="shared" si="10"/>
        <v>0</v>
      </c>
      <c r="AC77" s="4">
        <f t="shared" si="11"/>
        <v>0</v>
      </c>
    </row>
    <row r="78" spans="1:29">
      <c r="A78" s="3" t="s">
        <v>41</v>
      </c>
      <c r="B78" s="5">
        <v>45658</v>
      </c>
      <c r="C78" s="3" t="s">
        <v>24</v>
      </c>
      <c r="D78" s="4">
        <f t="shared" si="12"/>
        <v>0</v>
      </c>
      <c r="E78" s="4">
        <f t="shared" si="13"/>
        <v>1</v>
      </c>
      <c r="F78" s="4">
        <f t="shared" si="14"/>
        <v>0</v>
      </c>
      <c r="G78" s="3" t="s">
        <v>18</v>
      </c>
      <c r="H78" s="3">
        <v>56973.18</v>
      </c>
      <c r="I78" s="3">
        <v>6662</v>
      </c>
      <c r="J78" s="3">
        <v>0.1</v>
      </c>
      <c r="K78" s="3">
        <v>15</v>
      </c>
      <c r="L78" s="3">
        <v>77.7</v>
      </c>
      <c r="M78" s="3">
        <v>7.52</v>
      </c>
      <c r="N78" s="4">
        <f t="shared" si="15"/>
        <v>7.52</v>
      </c>
      <c r="O78" s="3">
        <v>1</v>
      </c>
      <c r="P78" s="3">
        <v>3.2</v>
      </c>
      <c r="Q78" s="4">
        <f t="shared" si="8"/>
        <v>3.2</v>
      </c>
      <c r="R78" s="3">
        <v>643657.47</v>
      </c>
      <c r="S78" s="3">
        <v>87022.45</v>
      </c>
      <c r="X78" s="3">
        <v>56973.18</v>
      </c>
      <c r="Y78" s="3">
        <v>6662</v>
      </c>
      <c r="Z78" s="3">
        <v>77.7</v>
      </c>
      <c r="AA78" s="4">
        <f t="shared" si="9"/>
        <v>0</v>
      </c>
      <c r="AB78" s="4">
        <f t="shared" si="10"/>
        <v>0</v>
      </c>
      <c r="AC78" s="4">
        <f t="shared" si="11"/>
        <v>0</v>
      </c>
    </row>
    <row r="79" spans="1:29">
      <c r="A79" s="3" t="s">
        <v>41</v>
      </c>
      <c r="B79" s="5">
        <v>45689</v>
      </c>
      <c r="C79" s="3" t="s">
        <v>24</v>
      </c>
      <c r="D79" s="4">
        <f t="shared" si="12"/>
        <v>0</v>
      </c>
      <c r="E79" s="4">
        <f t="shared" si="13"/>
        <v>1</v>
      </c>
      <c r="F79" s="4">
        <f t="shared" si="14"/>
        <v>0</v>
      </c>
      <c r="G79" s="3" t="s">
        <v>18</v>
      </c>
      <c r="H79" s="3">
        <v>54872.82</v>
      </c>
      <c r="I79" s="3">
        <v>5962</v>
      </c>
      <c r="J79" s="3">
        <v>6.4000000000000001E-2</v>
      </c>
      <c r="K79" s="3">
        <v>12</v>
      </c>
      <c r="L79" s="3">
        <v>85.4</v>
      </c>
      <c r="M79" s="3">
        <v>2.58</v>
      </c>
      <c r="N79" s="4">
        <f t="shared" si="15"/>
        <v>2.58</v>
      </c>
      <c r="O79" s="3">
        <v>0</v>
      </c>
      <c r="P79" s="3">
        <v>2.9</v>
      </c>
      <c r="Q79" s="4">
        <f t="shared" si="8"/>
        <v>2.9</v>
      </c>
      <c r="R79" s="3">
        <v>691112.6</v>
      </c>
      <c r="S79" s="3">
        <v>109212.83</v>
      </c>
      <c r="X79" s="3">
        <v>54872.82</v>
      </c>
      <c r="Y79" s="3">
        <v>5962</v>
      </c>
      <c r="Z79" s="3">
        <v>85.4</v>
      </c>
      <c r="AA79" s="4">
        <f t="shared" si="9"/>
        <v>0</v>
      </c>
      <c r="AB79" s="4">
        <f t="shared" si="10"/>
        <v>0</v>
      </c>
      <c r="AC79" s="4">
        <f t="shared" si="11"/>
        <v>0</v>
      </c>
    </row>
    <row r="80" spans="1:29">
      <c r="A80" s="3" t="s">
        <v>41</v>
      </c>
      <c r="B80" s="5">
        <v>45717</v>
      </c>
      <c r="C80" s="3" t="s">
        <v>24</v>
      </c>
      <c r="D80" s="4">
        <f t="shared" si="12"/>
        <v>0</v>
      </c>
      <c r="E80" s="4">
        <f t="shared" si="13"/>
        <v>1</v>
      </c>
      <c r="F80" s="4">
        <f t="shared" si="14"/>
        <v>0</v>
      </c>
      <c r="G80" s="3" t="s">
        <v>18</v>
      </c>
      <c r="H80" s="3">
        <v>80562.81</v>
      </c>
      <c r="I80" s="3">
        <v>7470</v>
      </c>
      <c r="J80" s="3">
        <v>0.17199999999999999</v>
      </c>
      <c r="K80" s="3">
        <v>16</v>
      </c>
      <c r="L80" s="3">
        <v>83.5</v>
      </c>
      <c r="M80" s="3">
        <v>2.29</v>
      </c>
      <c r="N80" s="4">
        <f t="shared" si="15"/>
        <v>2.29</v>
      </c>
      <c r="O80" s="3">
        <v>0</v>
      </c>
      <c r="P80" s="3">
        <v>3.3</v>
      </c>
      <c r="Q80" s="4">
        <f t="shared" si="8"/>
        <v>3.3</v>
      </c>
      <c r="R80" s="3">
        <v>776922.17</v>
      </c>
      <c r="S80" s="3">
        <v>150701.93</v>
      </c>
      <c r="X80" s="3">
        <v>80562.81</v>
      </c>
      <c r="Y80" s="3">
        <v>7470</v>
      </c>
      <c r="Z80" s="3">
        <v>83.5</v>
      </c>
      <c r="AA80" s="4">
        <f t="shared" si="9"/>
        <v>0</v>
      </c>
      <c r="AB80" s="4">
        <f t="shared" si="10"/>
        <v>0</v>
      </c>
      <c r="AC80" s="4">
        <f t="shared" si="11"/>
        <v>0</v>
      </c>
    </row>
    <row r="81" spans="1:29">
      <c r="A81" s="3" t="s">
        <v>41</v>
      </c>
      <c r="B81" s="5">
        <v>45748</v>
      </c>
      <c r="C81" s="3" t="s">
        <v>24</v>
      </c>
      <c r="D81" s="4">
        <f t="shared" si="12"/>
        <v>0</v>
      </c>
      <c r="E81" s="4">
        <f t="shared" si="13"/>
        <v>1</v>
      </c>
      <c r="F81" s="4">
        <f t="shared" si="14"/>
        <v>0</v>
      </c>
      <c r="G81" s="3" t="s">
        <v>18</v>
      </c>
      <c r="H81" s="3">
        <v>77999.899999999994</v>
      </c>
      <c r="I81" s="3">
        <v>5974</v>
      </c>
      <c r="J81" s="3">
        <v>0.252</v>
      </c>
      <c r="K81" s="3">
        <v>14</v>
      </c>
      <c r="L81" s="3">
        <v>81.3</v>
      </c>
      <c r="M81" s="3">
        <v>2.39</v>
      </c>
      <c r="N81" s="4">
        <f t="shared" si="15"/>
        <v>2.39</v>
      </c>
      <c r="O81" s="3">
        <v>0</v>
      </c>
      <c r="P81" s="3">
        <v>3.2</v>
      </c>
      <c r="Q81" s="4">
        <f t="shared" si="8"/>
        <v>3.2</v>
      </c>
      <c r="R81" s="3">
        <v>636561.34</v>
      </c>
      <c r="S81" s="3">
        <v>93861.06</v>
      </c>
      <c r="X81" s="3">
        <v>77999.899999999994</v>
      </c>
      <c r="Y81" s="3">
        <v>5974</v>
      </c>
      <c r="Z81" s="3">
        <v>81.3</v>
      </c>
      <c r="AA81" s="4">
        <f t="shared" si="9"/>
        <v>0</v>
      </c>
      <c r="AB81" s="4">
        <f t="shared" si="10"/>
        <v>0</v>
      </c>
      <c r="AC81" s="4">
        <f t="shared" si="11"/>
        <v>0</v>
      </c>
    </row>
    <row r="82" spans="1:29">
      <c r="A82" s="3" t="s">
        <v>42</v>
      </c>
      <c r="B82" s="5">
        <v>45658</v>
      </c>
      <c r="C82" s="3" t="s">
        <v>27</v>
      </c>
      <c r="D82" s="4">
        <f t="shared" si="12"/>
        <v>0</v>
      </c>
      <c r="E82" s="4">
        <f t="shared" si="13"/>
        <v>0</v>
      </c>
      <c r="F82" s="4">
        <f t="shared" si="14"/>
        <v>1</v>
      </c>
      <c r="G82" s="3" t="s">
        <v>28</v>
      </c>
      <c r="H82" s="3">
        <v>60881.01</v>
      </c>
      <c r="I82" s="3">
        <v>5410</v>
      </c>
      <c r="J82" s="3">
        <v>0.17899999999999999</v>
      </c>
      <c r="K82" s="3">
        <v>15</v>
      </c>
      <c r="L82" s="3">
        <v>83.9</v>
      </c>
      <c r="M82" s="3">
        <v>5.24</v>
      </c>
      <c r="N82" s="4">
        <f t="shared" si="15"/>
        <v>5.24</v>
      </c>
      <c r="O82" s="3">
        <v>0</v>
      </c>
      <c r="P82" s="3">
        <v>4.5999999999999996</v>
      </c>
      <c r="Q82" s="4">
        <f t="shared" si="8"/>
        <v>4.5999999999999996</v>
      </c>
      <c r="R82" s="3">
        <v>621369.57999999996</v>
      </c>
      <c r="S82" s="3">
        <v>85493.64</v>
      </c>
      <c r="X82" s="3">
        <v>60881.01</v>
      </c>
      <c r="Y82" s="3">
        <v>5410</v>
      </c>
      <c r="Z82" s="3">
        <v>83.9</v>
      </c>
      <c r="AA82" s="4">
        <f t="shared" si="9"/>
        <v>0</v>
      </c>
      <c r="AB82" s="4">
        <f t="shared" si="10"/>
        <v>0</v>
      </c>
      <c r="AC82" s="4">
        <f t="shared" si="11"/>
        <v>0</v>
      </c>
    </row>
    <row r="83" spans="1:29">
      <c r="A83" s="3" t="s">
        <v>42</v>
      </c>
      <c r="B83" s="5">
        <v>45689</v>
      </c>
      <c r="C83" s="3" t="s">
        <v>27</v>
      </c>
      <c r="D83" s="4">
        <f t="shared" si="12"/>
        <v>0</v>
      </c>
      <c r="E83" s="4">
        <f t="shared" si="13"/>
        <v>0</v>
      </c>
      <c r="F83" s="4">
        <f t="shared" si="14"/>
        <v>1</v>
      </c>
      <c r="G83" s="3" t="s">
        <v>28</v>
      </c>
      <c r="H83" s="3">
        <v>60628.38</v>
      </c>
      <c r="I83" s="3">
        <v>4451</v>
      </c>
      <c r="J83" s="3">
        <v>9.5000000000000001E-2</v>
      </c>
      <c r="K83" s="3">
        <v>10</v>
      </c>
      <c r="L83" s="3">
        <v>89.6</v>
      </c>
      <c r="M83" s="3">
        <v>3.17</v>
      </c>
      <c r="N83" s="4">
        <f t="shared" si="15"/>
        <v>3.17</v>
      </c>
      <c r="O83" s="3">
        <v>0</v>
      </c>
      <c r="P83" s="3">
        <v>4.5999999999999996</v>
      </c>
      <c r="Q83" s="4">
        <f t="shared" si="8"/>
        <v>4.5999999999999996</v>
      </c>
      <c r="R83" s="3">
        <v>682208.01</v>
      </c>
      <c r="S83" s="3">
        <v>110318.84</v>
      </c>
      <c r="X83" s="3">
        <v>60628.38</v>
      </c>
      <c r="Y83" s="3">
        <v>4451</v>
      </c>
      <c r="Z83" s="3">
        <v>89.6</v>
      </c>
      <c r="AA83" s="4">
        <f t="shared" si="9"/>
        <v>0</v>
      </c>
      <c r="AB83" s="4">
        <f t="shared" si="10"/>
        <v>0</v>
      </c>
      <c r="AC83" s="4">
        <f t="shared" si="11"/>
        <v>0</v>
      </c>
    </row>
    <row r="84" spans="1:29">
      <c r="A84" s="3" t="s">
        <v>42</v>
      </c>
      <c r="B84" s="5">
        <v>45717</v>
      </c>
      <c r="C84" s="3" t="s">
        <v>27</v>
      </c>
      <c r="D84" s="4">
        <f t="shared" si="12"/>
        <v>0</v>
      </c>
      <c r="E84" s="4">
        <f t="shared" si="13"/>
        <v>0</v>
      </c>
      <c r="F84" s="4">
        <f t="shared" si="14"/>
        <v>1</v>
      </c>
      <c r="G84" s="3" t="s">
        <v>28</v>
      </c>
      <c r="H84" s="3">
        <v>72731.14</v>
      </c>
      <c r="I84" s="3">
        <v>4644</v>
      </c>
      <c r="J84" s="3">
        <v>8.4000000000000005E-2</v>
      </c>
      <c r="K84" s="3">
        <v>15</v>
      </c>
      <c r="L84" s="3">
        <v>87.1</v>
      </c>
      <c r="M84" s="3">
        <v>2.66</v>
      </c>
      <c r="N84" s="4">
        <f t="shared" si="15"/>
        <v>2.66</v>
      </c>
      <c r="O84" s="3">
        <v>0</v>
      </c>
      <c r="P84" s="3">
        <v>4.5999999999999996</v>
      </c>
      <c r="Q84" s="4">
        <f t="shared" si="8"/>
        <v>4.5999999999999996</v>
      </c>
      <c r="R84" s="3">
        <v>727241.86</v>
      </c>
      <c r="S84" s="3">
        <v>155810.29999999999</v>
      </c>
      <c r="X84" s="3">
        <v>72731.14</v>
      </c>
      <c r="Y84" s="3">
        <v>4644</v>
      </c>
      <c r="Z84" s="3">
        <v>87.1</v>
      </c>
      <c r="AA84" s="4">
        <f t="shared" si="9"/>
        <v>0</v>
      </c>
      <c r="AB84" s="4">
        <f t="shared" si="10"/>
        <v>0</v>
      </c>
      <c r="AC84" s="4">
        <f t="shared" si="11"/>
        <v>0</v>
      </c>
    </row>
    <row r="85" spans="1:29">
      <c r="A85" s="3" t="s">
        <v>42</v>
      </c>
      <c r="B85" s="5">
        <v>45748</v>
      </c>
      <c r="C85" s="3" t="s">
        <v>27</v>
      </c>
      <c r="D85" s="4">
        <f t="shared" si="12"/>
        <v>0</v>
      </c>
      <c r="E85" s="4">
        <f t="shared" si="13"/>
        <v>0</v>
      </c>
      <c r="F85" s="4">
        <f t="shared" si="14"/>
        <v>1</v>
      </c>
      <c r="G85" s="3" t="s">
        <v>28</v>
      </c>
      <c r="H85" s="3">
        <v>36475.71</v>
      </c>
      <c r="I85" s="3">
        <v>3559</v>
      </c>
      <c r="J85" s="3">
        <v>0.03</v>
      </c>
      <c r="K85" s="3">
        <v>8</v>
      </c>
      <c r="L85" s="3">
        <v>83.6</v>
      </c>
      <c r="M85" s="3">
        <v>1.41</v>
      </c>
      <c r="N85" s="4">
        <f t="shared" si="15"/>
        <v>1.41</v>
      </c>
      <c r="O85" s="3">
        <v>0</v>
      </c>
      <c r="P85" s="3">
        <v>4.2</v>
      </c>
      <c r="Q85" s="4">
        <f t="shared" si="8"/>
        <v>4.2</v>
      </c>
      <c r="R85" s="3">
        <v>569100.78</v>
      </c>
      <c r="S85" s="3">
        <v>104808.78</v>
      </c>
      <c r="X85" s="3">
        <v>36475.71</v>
      </c>
      <c r="Y85" s="3">
        <v>3559</v>
      </c>
      <c r="Z85" s="3">
        <v>83.6</v>
      </c>
      <c r="AA85" s="4">
        <f t="shared" si="9"/>
        <v>0</v>
      </c>
      <c r="AB85" s="4">
        <f t="shared" si="10"/>
        <v>0</v>
      </c>
      <c r="AC85" s="4">
        <f t="shared" si="11"/>
        <v>0</v>
      </c>
    </row>
    <row r="86" spans="1:29">
      <c r="A86" s="3" t="s">
        <v>43</v>
      </c>
      <c r="B86" s="5">
        <v>45658</v>
      </c>
      <c r="C86" s="3" t="s">
        <v>27</v>
      </c>
      <c r="D86" s="4">
        <f t="shared" si="12"/>
        <v>0</v>
      </c>
      <c r="E86" s="4">
        <f t="shared" si="13"/>
        <v>0</v>
      </c>
      <c r="F86" s="4">
        <f t="shared" si="14"/>
        <v>1</v>
      </c>
      <c r="G86" s="3" t="s">
        <v>18</v>
      </c>
      <c r="H86" s="3">
        <v>55388.11</v>
      </c>
      <c r="I86" s="3">
        <v>3091</v>
      </c>
      <c r="J86" s="3">
        <v>0.108</v>
      </c>
      <c r="K86" s="3">
        <v>7</v>
      </c>
      <c r="L86" s="3">
        <v>85.4</v>
      </c>
      <c r="M86" s="3">
        <v>7.34</v>
      </c>
      <c r="N86" s="4">
        <f t="shared" si="15"/>
        <v>7.34</v>
      </c>
      <c r="O86" s="3">
        <v>0</v>
      </c>
      <c r="P86" s="3">
        <v>4.9000000000000004</v>
      </c>
      <c r="Q86" s="4">
        <f t="shared" si="8"/>
        <v>4.9000000000000004</v>
      </c>
      <c r="R86" s="3">
        <v>574436.29</v>
      </c>
      <c r="S86" s="3">
        <v>80271.990000000005</v>
      </c>
      <c r="X86" s="3">
        <v>55388.11</v>
      </c>
      <c r="Y86" s="3">
        <v>3091</v>
      </c>
      <c r="Z86" s="3">
        <v>85.4</v>
      </c>
      <c r="AA86" s="4">
        <f t="shared" si="9"/>
        <v>0</v>
      </c>
      <c r="AB86" s="4">
        <f t="shared" si="10"/>
        <v>0</v>
      </c>
      <c r="AC86" s="4">
        <f t="shared" si="11"/>
        <v>0</v>
      </c>
    </row>
    <row r="87" spans="1:29">
      <c r="A87" s="3" t="s">
        <v>43</v>
      </c>
      <c r="B87" s="5">
        <v>45689</v>
      </c>
      <c r="C87" s="3" t="s">
        <v>27</v>
      </c>
      <c r="D87" s="4">
        <f t="shared" si="12"/>
        <v>0</v>
      </c>
      <c r="E87" s="4">
        <f t="shared" si="13"/>
        <v>0</v>
      </c>
      <c r="F87" s="4">
        <f t="shared" si="14"/>
        <v>1</v>
      </c>
      <c r="G87" s="3" t="s">
        <v>18</v>
      </c>
      <c r="H87" s="3">
        <v>88443.77</v>
      </c>
      <c r="I87" s="3">
        <v>4004</v>
      </c>
      <c r="J87" s="3">
        <v>0.20599999999999999</v>
      </c>
      <c r="K87" s="3">
        <v>11</v>
      </c>
      <c r="L87" s="3">
        <v>91.9</v>
      </c>
      <c r="M87" s="3">
        <v>5.95</v>
      </c>
      <c r="N87" s="4">
        <f t="shared" si="15"/>
        <v>5.95</v>
      </c>
      <c r="O87" s="3">
        <v>0</v>
      </c>
      <c r="P87" s="3"/>
      <c r="Q87" s="4">
        <f t="shared" si="8"/>
        <v>3.9</v>
      </c>
      <c r="R87" s="3">
        <v>611766.72</v>
      </c>
      <c r="S87" s="3">
        <v>88275.61</v>
      </c>
      <c r="X87" s="3">
        <v>88443.77</v>
      </c>
      <c r="Y87" s="3">
        <v>4004</v>
      </c>
      <c r="Z87" s="3">
        <v>91.9</v>
      </c>
      <c r="AA87" s="4">
        <f t="shared" si="9"/>
        <v>0</v>
      </c>
      <c r="AB87" s="4">
        <f t="shared" si="10"/>
        <v>0</v>
      </c>
      <c r="AC87" s="4">
        <f t="shared" si="11"/>
        <v>0</v>
      </c>
    </row>
    <row r="88" spans="1:29">
      <c r="A88" s="3" t="s">
        <v>43</v>
      </c>
      <c r="B88" s="5">
        <v>45717</v>
      </c>
      <c r="C88" s="3" t="s">
        <v>27</v>
      </c>
      <c r="D88" s="4">
        <f t="shared" si="12"/>
        <v>0</v>
      </c>
      <c r="E88" s="4">
        <f t="shared" si="13"/>
        <v>0</v>
      </c>
      <c r="F88" s="4">
        <f t="shared" si="14"/>
        <v>1</v>
      </c>
      <c r="G88" s="3" t="s">
        <v>18</v>
      </c>
      <c r="H88" s="3">
        <v>78231.91</v>
      </c>
      <c r="I88" s="3">
        <v>3788</v>
      </c>
      <c r="J88" s="3">
        <v>5.8999999999999997E-2</v>
      </c>
      <c r="K88" s="3">
        <v>11</v>
      </c>
      <c r="L88" s="3">
        <v>88.5</v>
      </c>
      <c r="M88" s="3">
        <v>15.51</v>
      </c>
      <c r="N88" s="4">
        <f t="shared" si="15"/>
        <v>15.51</v>
      </c>
      <c r="O88" s="3">
        <v>0</v>
      </c>
      <c r="P88" s="3">
        <v>4.3</v>
      </c>
      <c r="Q88" s="4">
        <f t="shared" si="8"/>
        <v>4.3</v>
      </c>
      <c r="R88" s="3">
        <v>614596.31999999995</v>
      </c>
      <c r="S88" s="3">
        <v>131199.41</v>
      </c>
      <c r="X88" s="3">
        <v>78231.91</v>
      </c>
      <c r="Y88" s="3">
        <v>3788</v>
      </c>
      <c r="Z88" s="3">
        <v>88.5</v>
      </c>
      <c r="AA88" s="4">
        <f t="shared" si="9"/>
        <v>0</v>
      </c>
      <c r="AB88" s="4">
        <f t="shared" si="10"/>
        <v>0</v>
      </c>
      <c r="AC88" s="4">
        <f t="shared" si="11"/>
        <v>0</v>
      </c>
    </row>
    <row r="89" spans="1:29">
      <c r="A89" s="3" t="s">
        <v>43</v>
      </c>
      <c r="B89" s="5">
        <v>45748</v>
      </c>
      <c r="C89" s="3" t="s">
        <v>27</v>
      </c>
      <c r="D89" s="4">
        <f t="shared" si="12"/>
        <v>0</v>
      </c>
      <c r="E89" s="4">
        <f t="shared" si="13"/>
        <v>0</v>
      </c>
      <c r="F89" s="4">
        <f t="shared" si="14"/>
        <v>1</v>
      </c>
      <c r="G89" s="3" t="s">
        <v>18</v>
      </c>
      <c r="H89" s="3">
        <v>18996.32</v>
      </c>
      <c r="I89" s="3">
        <v>1260</v>
      </c>
      <c r="J89" s="3">
        <v>0.14499999999999999</v>
      </c>
      <c r="K89" s="3">
        <v>9</v>
      </c>
      <c r="L89" s="3">
        <v>86.4</v>
      </c>
      <c r="M89" s="3">
        <v>4.3099999999999996</v>
      </c>
      <c r="N89" s="4">
        <f t="shared" si="15"/>
        <v>4.3099999999999996</v>
      </c>
      <c r="O89" s="3">
        <v>0</v>
      </c>
      <c r="P89" s="3">
        <v>4.5999999999999996</v>
      </c>
      <c r="Q89" s="4">
        <f t="shared" si="8"/>
        <v>4.5999999999999996</v>
      </c>
      <c r="R89" s="3">
        <v>450711.92</v>
      </c>
      <c r="S89" s="3">
        <v>90043.76</v>
      </c>
      <c r="X89" s="3">
        <v>18996.32</v>
      </c>
      <c r="Y89" s="3">
        <v>1260</v>
      </c>
      <c r="Z89" s="3">
        <v>86.4</v>
      </c>
      <c r="AA89" s="4">
        <f t="shared" si="9"/>
        <v>0</v>
      </c>
      <c r="AB89" s="4">
        <f t="shared" si="10"/>
        <v>0</v>
      </c>
      <c r="AC89" s="4">
        <f t="shared" si="11"/>
        <v>0</v>
      </c>
    </row>
    <row r="90" spans="1:29">
      <c r="A90" s="3" t="s">
        <v>44</v>
      </c>
      <c r="B90" s="5">
        <v>45658</v>
      </c>
      <c r="C90" s="3" t="s">
        <v>24</v>
      </c>
      <c r="D90" s="4">
        <f t="shared" si="12"/>
        <v>0</v>
      </c>
      <c r="E90" s="4">
        <f t="shared" si="13"/>
        <v>1</v>
      </c>
      <c r="F90" s="4">
        <f t="shared" si="14"/>
        <v>0</v>
      </c>
      <c r="G90" s="3" t="s">
        <v>28</v>
      </c>
      <c r="H90" s="3">
        <v>50517.94</v>
      </c>
      <c r="I90" s="3">
        <v>7024</v>
      </c>
      <c r="J90" s="3">
        <v>2.9000000000000001E-2</v>
      </c>
      <c r="K90" s="3">
        <v>18</v>
      </c>
      <c r="L90" s="3">
        <v>79.2</v>
      </c>
      <c r="M90" s="3">
        <v>6.61</v>
      </c>
      <c r="N90" s="4">
        <f t="shared" si="15"/>
        <v>6.61</v>
      </c>
      <c r="O90" s="3">
        <v>1</v>
      </c>
      <c r="P90" s="3">
        <v>4.0999999999999996</v>
      </c>
      <c r="Q90" s="4">
        <f t="shared" si="8"/>
        <v>4.0999999999999996</v>
      </c>
      <c r="R90" s="3">
        <v>711213.46</v>
      </c>
      <c r="S90" s="3">
        <v>105863.26</v>
      </c>
      <c r="X90" s="3">
        <v>50517.94</v>
      </c>
      <c r="Y90" s="3">
        <v>7024</v>
      </c>
      <c r="Z90" s="3">
        <v>79.2</v>
      </c>
      <c r="AA90" s="4">
        <f t="shared" si="9"/>
        <v>0</v>
      </c>
      <c r="AB90" s="4">
        <f t="shared" si="10"/>
        <v>0</v>
      </c>
      <c r="AC90" s="4">
        <f t="shared" si="11"/>
        <v>0</v>
      </c>
    </row>
    <row r="91" spans="1:29">
      <c r="A91" s="3" t="s">
        <v>44</v>
      </c>
      <c r="B91" s="5">
        <v>45689</v>
      </c>
      <c r="C91" s="3" t="s">
        <v>24</v>
      </c>
      <c r="D91" s="4">
        <f t="shared" si="12"/>
        <v>0</v>
      </c>
      <c r="E91" s="4">
        <f t="shared" si="13"/>
        <v>1</v>
      </c>
      <c r="F91" s="4">
        <f t="shared" si="14"/>
        <v>0</v>
      </c>
      <c r="G91" s="3" t="s">
        <v>28</v>
      </c>
      <c r="H91" s="3">
        <v>141540.29</v>
      </c>
      <c r="I91" s="3">
        <v>5400</v>
      </c>
      <c r="J91" s="3">
        <v>1.2999999999999999E-2</v>
      </c>
      <c r="K91" s="3">
        <v>12</v>
      </c>
      <c r="L91" s="3">
        <v>87</v>
      </c>
      <c r="M91" s="3">
        <v>4.26</v>
      </c>
      <c r="N91" s="4">
        <f t="shared" si="15"/>
        <v>4.26</v>
      </c>
      <c r="O91" s="3">
        <v>0</v>
      </c>
      <c r="P91" s="3">
        <v>4.5</v>
      </c>
      <c r="Q91" s="4">
        <f t="shared" si="8"/>
        <v>4.5</v>
      </c>
      <c r="R91" s="3">
        <v>627171.9</v>
      </c>
      <c r="S91" s="3">
        <v>105772.75</v>
      </c>
      <c r="X91" s="3">
        <v>141540.29</v>
      </c>
      <c r="Y91" s="3">
        <v>5400</v>
      </c>
      <c r="Z91" s="3">
        <v>87</v>
      </c>
      <c r="AA91" s="4">
        <f t="shared" si="9"/>
        <v>0</v>
      </c>
      <c r="AB91" s="4">
        <f t="shared" si="10"/>
        <v>0</v>
      </c>
      <c r="AC91" s="4">
        <f t="shared" si="11"/>
        <v>0</v>
      </c>
    </row>
    <row r="92" spans="1:29">
      <c r="A92" s="3" t="s">
        <v>44</v>
      </c>
      <c r="B92" s="5">
        <v>45717</v>
      </c>
      <c r="C92" s="3" t="s">
        <v>24</v>
      </c>
      <c r="D92" s="4">
        <f t="shared" si="12"/>
        <v>0</v>
      </c>
      <c r="E92" s="4">
        <f t="shared" si="13"/>
        <v>1</v>
      </c>
      <c r="F92" s="4">
        <f t="shared" si="14"/>
        <v>0</v>
      </c>
      <c r="G92" s="3" t="s">
        <v>28</v>
      </c>
      <c r="H92" s="3">
        <v>82116.19</v>
      </c>
      <c r="I92" s="3">
        <v>5988</v>
      </c>
      <c r="J92" s="3">
        <v>0.04</v>
      </c>
      <c r="K92" s="3">
        <v>17</v>
      </c>
      <c r="L92" s="3">
        <v>91.8</v>
      </c>
      <c r="M92" s="3">
        <v>5.75</v>
      </c>
      <c r="N92" s="4">
        <f t="shared" si="15"/>
        <v>5.75</v>
      </c>
      <c r="O92" s="3">
        <v>0</v>
      </c>
      <c r="P92" s="3">
        <v>4.7</v>
      </c>
      <c r="Q92" s="4">
        <f t="shared" si="8"/>
        <v>4.7</v>
      </c>
      <c r="R92" s="3">
        <v>739852.58</v>
      </c>
      <c r="S92" s="3">
        <v>129386.43</v>
      </c>
      <c r="X92" s="3">
        <v>82116.19</v>
      </c>
      <c r="Y92" s="3">
        <v>5988</v>
      </c>
      <c r="Z92" s="3">
        <v>91.8</v>
      </c>
      <c r="AA92" s="4">
        <f t="shared" si="9"/>
        <v>0</v>
      </c>
      <c r="AB92" s="4">
        <f t="shared" si="10"/>
        <v>0</v>
      </c>
      <c r="AC92" s="4">
        <f t="shared" si="11"/>
        <v>0</v>
      </c>
    </row>
    <row r="93" spans="1:29">
      <c r="A93" s="3" t="s">
        <v>44</v>
      </c>
      <c r="B93" s="5">
        <v>45748</v>
      </c>
      <c r="C93" s="3" t="s">
        <v>24</v>
      </c>
      <c r="D93" s="4">
        <f t="shared" si="12"/>
        <v>0</v>
      </c>
      <c r="E93" s="4">
        <f t="shared" si="13"/>
        <v>1</v>
      </c>
      <c r="F93" s="4">
        <f t="shared" si="14"/>
        <v>0</v>
      </c>
      <c r="G93" s="3" t="s">
        <v>28</v>
      </c>
      <c r="H93" s="3">
        <v>31207.51</v>
      </c>
      <c r="I93" s="3">
        <v>3701</v>
      </c>
      <c r="J93" s="3">
        <v>4.2999999999999997E-2</v>
      </c>
      <c r="K93" s="3">
        <v>11</v>
      </c>
      <c r="L93" s="3">
        <v>84.7</v>
      </c>
      <c r="M93" s="3">
        <v>0.33</v>
      </c>
      <c r="N93" s="4">
        <f t="shared" si="15"/>
        <v>0.33</v>
      </c>
      <c r="O93" s="3">
        <v>0</v>
      </c>
      <c r="P93" s="3">
        <v>4.3</v>
      </c>
      <c r="Q93" s="4">
        <f t="shared" si="8"/>
        <v>4.3</v>
      </c>
      <c r="R93" s="3">
        <v>586307.22</v>
      </c>
      <c r="S93" s="3">
        <v>73927.850000000006</v>
      </c>
      <c r="X93" s="3">
        <v>31207.51</v>
      </c>
      <c r="Y93" s="3">
        <v>3701</v>
      </c>
      <c r="Z93" s="3">
        <v>84.7</v>
      </c>
      <c r="AA93" s="4">
        <f t="shared" si="9"/>
        <v>0</v>
      </c>
      <c r="AB93" s="4">
        <f t="shared" si="10"/>
        <v>0</v>
      </c>
      <c r="AC93" s="4">
        <f t="shared" si="11"/>
        <v>0</v>
      </c>
    </row>
    <row r="94" spans="1:29">
      <c r="A94" s="3" t="s">
        <v>45</v>
      </c>
      <c r="B94" s="5">
        <v>45658</v>
      </c>
      <c r="C94" s="3" t="s">
        <v>27</v>
      </c>
      <c r="D94" s="4">
        <f t="shared" si="12"/>
        <v>0</v>
      </c>
      <c r="E94" s="4">
        <f t="shared" si="13"/>
        <v>0</v>
      </c>
      <c r="F94" s="4">
        <f t="shared" si="14"/>
        <v>1</v>
      </c>
      <c r="G94" s="3" t="s">
        <v>16</v>
      </c>
      <c r="H94" s="3">
        <v>38966.589999999997</v>
      </c>
      <c r="I94" s="3">
        <v>4509</v>
      </c>
      <c r="J94" s="3">
        <v>0.19400000000000001</v>
      </c>
      <c r="K94" s="3">
        <v>14</v>
      </c>
      <c r="L94" s="3">
        <v>91.1</v>
      </c>
      <c r="M94" s="3">
        <v>2.92</v>
      </c>
      <c r="N94" s="4">
        <f t="shared" si="15"/>
        <v>2.92</v>
      </c>
      <c r="O94" s="3">
        <v>0</v>
      </c>
      <c r="P94" s="3">
        <v>4.5999999999999996</v>
      </c>
      <c r="Q94" s="4">
        <f t="shared" si="8"/>
        <v>4.5999999999999996</v>
      </c>
      <c r="R94" s="3">
        <v>585937.48</v>
      </c>
      <c r="S94" s="3">
        <v>82624.2</v>
      </c>
      <c r="X94" s="3">
        <v>38966.589999999997</v>
      </c>
      <c r="Y94" s="3">
        <v>4509</v>
      </c>
      <c r="Z94" s="3">
        <v>91.1</v>
      </c>
      <c r="AA94" s="4">
        <f t="shared" si="9"/>
        <v>0</v>
      </c>
      <c r="AB94" s="4">
        <f t="shared" si="10"/>
        <v>0</v>
      </c>
      <c r="AC94" s="4">
        <f t="shared" si="11"/>
        <v>0</v>
      </c>
    </row>
    <row r="95" spans="1:29">
      <c r="A95" s="3" t="s">
        <v>45</v>
      </c>
      <c r="B95" s="5">
        <v>45689</v>
      </c>
      <c r="C95" s="3" t="s">
        <v>27</v>
      </c>
      <c r="D95" s="4">
        <f t="shared" si="12"/>
        <v>0</v>
      </c>
      <c r="E95" s="4">
        <f t="shared" si="13"/>
        <v>0</v>
      </c>
      <c r="F95" s="4">
        <f t="shared" si="14"/>
        <v>1</v>
      </c>
      <c r="G95" s="3" t="s">
        <v>16</v>
      </c>
      <c r="H95" s="3">
        <v>67439.3</v>
      </c>
      <c r="I95" s="3">
        <v>6477</v>
      </c>
      <c r="J95" s="3">
        <v>0</v>
      </c>
      <c r="K95" s="3">
        <v>16</v>
      </c>
      <c r="L95" s="3">
        <v>90.9</v>
      </c>
      <c r="M95" s="3">
        <v>1.64</v>
      </c>
      <c r="N95" s="4">
        <f t="shared" si="15"/>
        <v>1.64</v>
      </c>
      <c r="O95" s="3">
        <v>0</v>
      </c>
      <c r="P95" s="3">
        <v>4.5</v>
      </c>
      <c r="Q95" s="4">
        <f t="shared" si="8"/>
        <v>4.5</v>
      </c>
      <c r="R95" s="3">
        <v>753473.55</v>
      </c>
      <c r="S95" s="3">
        <v>151527.22</v>
      </c>
      <c r="X95" s="3">
        <v>67439.3</v>
      </c>
      <c r="Y95" s="3">
        <v>6477</v>
      </c>
      <c r="Z95" s="3">
        <v>90.9</v>
      </c>
      <c r="AA95" s="4">
        <f t="shared" si="9"/>
        <v>0</v>
      </c>
      <c r="AB95" s="4">
        <f t="shared" si="10"/>
        <v>0</v>
      </c>
      <c r="AC95" s="4">
        <f t="shared" si="11"/>
        <v>0</v>
      </c>
    </row>
    <row r="96" spans="1:29">
      <c r="A96" s="3" t="s">
        <v>45</v>
      </c>
      <c r="B96" s="5">
        <v>45717</v>
      </c>
      <c r="C96" s="3" t="s">
        <v>27</v>
      </c>
      <c r="D96" s="4">
        <f t="shared" si="12"/>
        <v>0</v>
      </c>
      <c r="E96" s="4">
        <f t="shared" si="13"/>
        <v>0</v>
      </c>
      <c r="F96" s="4">
        <f t="shared" si="14"/>
        <v>1</v>
      </c>
      <c r="G96" s="3" t="s">
        <v>16</v>
      </c>
      <c r="H96" s="3">
        <v>86421.88</v>
      </c>
      <c r="I96" s="3">
        <v>7970</v>
      </c>
      <c r="J96" s="3">
        <v>7.2999999999999995E-2</v>
      </c>
      <c r="K96" s="3">
        <v>17</v>
      </c>
      <c r="L96" s="3">
        <v>91.3</v>
      </c>
      <c r="M96" s="3">
        <v>0.8</v>
      </c>
      <c r="N96" s="4">
        <f t="shared" si="15"/>
        <v>0.8</v>
      </c>
      <c r="O96" s="3">
        <v>0</v>
      </c>
      <c r="P96" s="3">
        <v>5</v>
      </c>
      <c r="Q96" s="4">
        <f t="shared" si="8"/>
        <v>5</v>
      </c>
      <c r="R96" s="3">
        <v>838250.32</v>
      </c>
      <c r="S96" s="3">
        <v>122939.34</v>
      </c>
      <c r="X96" s="3">
        <v>86421.88</v>
      </c>
      <c r="Y96" s="3">
        <v>7970</v>
      </c>
      <c r="Z96" s="3">
        <v>91.3</v>
      </c>
      <c r="AA96" s="4">
        <f t="shared" si="9"/>
        <v>0</v>
      </c>
      <c r="AB96" s="4">
        <f t="shared" si="10"/>
        <v>0</v>
      </c>
      <c r="AC96" s="4">
        <f t="shared" si="11"/>
        <v>0</v>
      </c>
    </row>
    <row r="97" spans="1:29">
      <c r="A97" s="3" t="s">
        <v>45</v>
      </c>
      <c r="B97" s="5">
        <v>45748</v>
      </c>
      <c r="C97" s="3" t="s">
        <v>27</v>
      </c>
      <c r="D97" s="4">
        <f t="shared" si="12"/>
        <v>0</v>
      </c>
      <c r="E97" s="4">
        <f t="shared" si="13"/>
        <v>0</v>
      </c>
      <c r="F97" s="4">
        <f t="shared" si="14"/>
        <v>1</v>
      </c>
      <c r="G97" s="3" t="s">
        <v>16</v>
      </c>
      <c r="H97" s="3">
        <v>9534.65</v>
      </c>
      <c r="I97" s="3">
        <v>6057</v>
      </c>
      <c r="J97" s="3">
        <v>7.3999999999999996E-2</v>
      </c>
      <c r="K97" s="3">
        <v>15</v>
      </c>
      <c r="L97" s="3">
        <v>94.1</v>
      </c>
      <c r="M97" s="3">
        <v>5.79</v>
      </c>
      <c r="N97" s="4">
        <f t="shared" si="15"/>
        <v>5.79</v>
      </c>
      <c r="O97" s="3">
        <v>0</v>
      </c>
      <c r="P97" s="3">
        <v>4.5</v>
      </c>
      <c r="Q97" s="4">
        <f t="shared" si="8"/>
        <v>4.5</v>
      </c>
      <c r="R97" s="3">
        <v>607898.12</v>
      </c>
      <c r="S97" s="3">
        <v>135404.85</v>
      </c>
      <c r="X97" s="3">
        <v>9534.65</v>
      </c>
      <c r="Y97" s="3">
        <v>6057</v>
      </c>
      <c r="Z97" s="3">
        <v>94.1</v>
      </c>
      <c r="AA97" s="4">
        <f t="shared" si="9"/>
        <v>0</v>
      </c>
      <c r="AB97" s="4">
        <f t="shared" si="10"/>
        <v>0</v>
      </c>
      <c r="AC97" s="4">
        <f t="shared" si="11"/>
        <v>0</v>
      </c>
    </row>
    <row r="98" spans="1:29">
      <c r="A98" s="3" t="s">
        <v>46</v>
      </c>
      <c r="B98" s="5">
        <v>45658</v>
      </c>
      <c r="C98" s="3" t="s">
        <v>27</v>
      </c>
      <c r="D98" s="4">
        <f t="shared" si="12"/>
        <v>0</v>
      </c>
      <c r="E98" s="4">
        <f t="shared" si="13"/>
        <v>0</v>
      </c>
      <c r="F98" s="4">
        <f t="shared" si="14"/>
        <v>1</v>
      </c>
      <c r="G98" s="3" t="s">
        <v>28</v>
      </c>
      <c r="H98" s="3">
        <v>61132.07</v>
      </c>
      <c r="I98" s="3">
        <v>6394</v>
      </c>
      <c r="J98" s="3">
        <v>0.16300000000000001</v>
      </c>
      <c r="K98" s="3">
        <v>19</v>
      </c>
      <c r="L98" s="3">
        <v>91</v>
      </c>
      <c r="M98" s="3">
        <v>19.600000000000001</v>
      </c>
      <c r="N98" s="4">
        <f t="shared" si="15"/>
        <v>19.600000000000001</v>
      </c>
      <c r="O98" s="3">
        <v>0</v>
      </c>
      <c r="P98" s="3">
        <v>4.4000000000000004</v>
      </c>
      <c r="Q98" s="4">
        <f t="shared" si="8"/>
        <v>4.4000000000000004</v>
      </c>
      <c r="R98" s="3">
        <v>691113.62</v>
      </c>
      <c r="S98" s="3">
        <v>135145.44</v>
      </c>
      <c r="X98" s="3">
        <v>61132.07</v>
      </c>
      <c r="Y98" s="3">
        <v>6394</v>
      </c>
      <c r="Z98" s="3">
        <v>91</v>
      </c>
      <c r="AA98" s="4">
        <f t="shared" si="9"/>
        <v>0</v>
      </c>
      <c r="AB98" s="4">
        <f t="shared" si="10"/>
        <v>0</v>
      </c>
      <c r="AC98" s="4">
        <f t="shared" si="11"/>
        <v>0</v>
      </c>
    </row>
    <row r="99" spans="1:29">
      <c r="A99" s="3" t="s">
        <v>46</v>
      </c>
      <c r="B99" s="5">
        <v>45689</v>
      </c>
      <c r="C99" s="3" t="s">
        <v>27</v>
      </c>
      <c r="D99" s="4">
        <f t="shared" si="12"/>
        <v>0</v>
      </c>
      <c r="E99" s="4">
        <f t="shared" si="13"/>
        <v>0</v>
      </c>
      <c r="F99" s="4">
        <f t="shared" si="14"/>
        <v>1</v>
      </c>
      <c r="G99" s="3" t="s">
        <v>28</v>
      </c>
      <c r="H99" s="3">
        <v>78839.39</v>
      </c>
      <c r="I99" s="3">
        <v>5150</v>
      </c>
      <c r="J99" s="3">
        <v>0.17100000000000001</v>
      </c>
      <c r="K99" s="3">
        <v>13</v>
      </c>
      <c r="L99" s="3">
        <v>85.8</v>
      </c>
      <c r="M99" s="3">
        <v>7.57</v>
      </c>
      <c r="N99" s="4">
        <f t="shared" si="15"/>
        <v>7.57</v>
      </c>
      <c r="O99" s="3">
        <v>0</v>
      </c>
      <c r="P99" s="3">
        <v>4.3</v>
      </c>
      <c r="Q99" s="4">
        <f t="shared" si="8"/>
        <v>4.3</v>
      </c>
      <c r="R99" s="3">
        <v>735509.4</v>
      </c>
      <c r="S99" s="3">
        <v>83895.96</v>
      </c>
      <c r="X99" s="3">
        <v>78839.39</v>
      </c>
      <c r="Y99" s="3">
        <v>5150</v>
      </c>
      <c r="Z99" s="3">
        <v>85.8</v>
      </c>
      <c r="AA99" s="4">
        <f t="shared" si="9"/>
        <v>0</v>
      </c>
      <c r="AB99" s="4">
        <f t="shared" si="10"/>
        <v>0</v>
      </c>
      <c r="AC99" s="4">
        <f t="shared" si="11"/>
        <v>0</v>
      </c>
    </row>
    <row r="100" spans="1:29">
      <c r="A100" s="3" t="s">
        <v>46</v>
      </c>
      <c r="B100" s="5">
        <v>45717</v>
      </c>
      <c r="C100" s="3" t="s">
        <v>27</v>
      </c>
      <c r="D100" s="4">
        <f t="shared" si="12"/>
        <v>0</v>
      </c>
      <c r="E100" s="4">
        <f t="shared" si="13"/>
        <v>0</v>
      </c>
      <c r="F100" s="4">
        <f t="shared" si="14"/>
        <v>1</v>
      </c>
      <c r="G100" s="3" t="s">
        <v>28</v>
      </c>
      <c r="H100" s="3">
        <v>38752.800000000003</v>
      </c>
      <c r="I100" s="3">
        <v>4712</v>
      </c>
      <c r="J100" s="3">
        <v>7.4999999999999997E-2</v>
      </c>
      <c r="K100" s="3">
        <v>15</v>
      </c>
      <c r="L100" s="3">
        <v>89.7</v>
      </c>
      <c r="M100" s="3"/>
      <c r="N100" s="4">
        <f t="shared" si="15"/>
        <v>3.3650000000000002</v>
      </c>
      <c r="O100" s="3">
        <v>0</v>
      </c>
      <c r="P100" s="3">
        <v>4.3</v>
      </c>
      <c r="Q100" s="4">
        <f t="shared" si="8"/>
        <v>4.3</v>
      </c>
      <c r="R100" s="3">
        <v>605775.32999999996</v>
      </c>
      <c r="S100" s="3">
        <v>107194.6</v>
      </c>
      <c r="X100" s="3">
        <v>38752.800000000003</v>
      </c>
      <c r="Y100" s="3">
        <v>4712</v>
      </c>
      <c r="Z100" s="3">
        <v>89.7</v>
      </c>
      <c r="AA100" s="4">
        <f t="shared" si="9"/>
        <v>0</v>
      </c>
      <c r="AB100" s="4">
        <f t="shared" si="10"/>
        <v>0</v>
      </c>
      <c r="AC100" s="4">
        <f t="shared" si="11"/>
        <v>0</v>
      </c>
    </row>
    <row r="101" spans="1:29">
      <c r="A101" s="3" t="s">
        <v>46</v>
      </c>
      <c r="B101" s="5">
        <v>45748</v>
      </c>
      <c r="C101" s="3" t="s">
        <v>27</v>
      </c>
      <c r="D101" s="4">
        <f t="shared" si="12"/>
        <v>0</v>
      </c>
      <c r="E101" s="4">
        <f t="shared" si="13"/>
        <v>0</v>
      </c>
      <c r="F101" s="4">
        <f t="shared" si="14"/>
        <v>1</v>
      </c>
      <c r="G101" s="3" t="s">
        <v>28</v>
      </c>
      <c r="H101" s="3">
        <v>55101.1</v>
      </c>
      <c r="I101" s="3">
        <v>5281</v>
      </c>
      <c r="J101" s="3">
        <v>0.189</v>
      </c>
      <c r="K101" s="3">
        <v>11</v>
      </c>
      <c r="L101" s="3">
        <v>91</v>
      </c>
      <c r="M101" s="3">
        <v>2.7</v>
      </c>
      <c r="N101" s="4">
        <f t="shared" si="15"/>
        <v>2.7</v>
      </c>
      <c r="O101" s="3">
        <v>0</v>
      </c>
      <c r="P101" s="3">
        <v>4.4000000000000004</v>
      </c>
      <c r="Q101" s="4">
        <f t="shared" si="8"/>
        <v>4.4000000000000004</v>
      </c>
      <c r="R101" s="3">
        <v>675177.68</v>
      </c>
      <c r="S101" s="3">
        <v>105628.68</v>
      </c>
      <c r="X101" s="3">
        <v>55101.1</v>
      </c>
      <c r="Y101" s="3">
        <v>5281</v>
      </c>
      <c r="Z101" s="3">
        <v>91</v>
      </c>
      <c r="AA101" s="4">
        <f t="shared" si="9"/>
        <v>0</v>
      </c>
      <c r="AB101" s="4">
        <f t="shared" si="10"/>
        <v>0</v>
      </c>
      <c r="AC101" s="4">
        <f t="shared" si="11"/>
        <v>0</v>
      </c>
    </row>
    <row r="102" spans="1:29">
      <c r="A102" s="3" t="s">
        <v>47</v>
      </c>
      <c r="B102" s="5">
        <v>45658</v>
      </c>
      <c r="C102" s="3" t="s">
        <v>15</v>
      </c>
      <c r="D102" s="4">
        <f t="shared" si="12"/>
        <v>0</v>
      </c>
      <c r="E102" s="4">
        <f t="shared" si="13"/>
        <v>0</v>
      </c>
      <c r="F102" s="4">
        <f t="shared" si="14"/>
        <v>0</v>
      </c>
      <c r="G102" s="3" t="s">
        <v>28</v>
      </c>
      <c r="H102" s="3">
        <v>53084.76</v>
      </c>
      <c r="I102" s="3">
        <v>3642</v>
      </c>
      <c r="J102" s="3">
        <v>0.15</v>
      </c>
      <c r="K102" s="3">
        <v>12</v>
      </c>
      <c r="L102" s="3">
        <v>91.4</v>
      </c>
      <c r="M102" s="3">
        <v>0.2</v>
      </c>
      <c r="N102" s="4">
        <f t="shared" si="15"/>
        <v>0.2</v>
      </c>
      <c r="O102" s="3">
        <v>0</v>
      </c>
      <c r="P102" s="3">
        <v>4.4000000000000004</v>
      </c>
      <c r="Q102" s="4">
        <f t="shared" si="8"/>
        <v>4.4000000000000004</v>
      </c>
      <c r="R102" s="3">
        <v>635181.35</v>
      </c>
      <c r="S102" s="3">
        <v>83341.25</v>
      </c>
      <c r="X102" s="3">
        <v>53084.76</v>
      </c>
      <c r="Y102" s="3">
        <v>3642</v>
      </c>
      <c r="Z102" s="3">
        <v>91.4</v>
      </c>
      <c r="AA102" s="4">
        <f t="shared" si="9"/>
        <v>0</v>
      </c>
      <c r="AB102" s="4">
        <f t="shared" si="10"/>
        <v>0</v>
      </c>
      <c r="AC102" s="4">
        <f t="shared" si="11"/>
        <v>0</v>
      </c>
    </row>
    <row r="103" spans="1:29">
      <c r="A103" s="3" t="s">
        <v>47</v>
      </c>
      <c r="B103" s="5">
        <v>45689</v>
      </c>
      <c r="C103" s="3" t="s">
        <v>15</v>
      </c>
      <c r="D103" s="4">
        <f t="shared" si="12"/>
        <v>0</v>
      </c>
      <c r="E103" s="4">
        <f t="shared" si="13"/>
        <v>0</v>
      </c>
      <c r="F103" s="4">
        <f t="shared" si="14"/>
        <v>0</v>
      </c>
      <c r="G103" s="3" t="s">
        <v>28</v>
      </c>
      <c r="H103" s="3">
        <v>63101.59</v>
      </c>
      <c r="I103" s="3">
        <v>4373</v>
      </c>
      <c r="J103" s="3">
        <v>0.17299999999999999</v>
      </c>
      <c r="K103" s="3">
        <v>14</v>
      </c>
      <c r="L103" s="3">
        <v>90.4</v>
      </c>
      <c r="M103" s="3">
        <v>7.87</v>
      </c>
      <c r="N103" s="4">
        <f t="shared" si="15"/>
        <v>7.87</v>
      </c>
      <c r="O103" s="3">
        <v>0</v>
      </c>
      <c r="P103" s="3">
        <v>4.7</v>
      </c>
      <c r="Q103" s="4">
        <f t="shared" si="8"/>
        <v>4.7</v>
      </c>
      <c r="R103" s="3">
        <v>586626.93999999994</v>
      </c>
      <c r="S103" s="3">
        <v>86498.55</v>
      </c>
      <c r="X103" s="3">
        <v>63101.59</v>
      </c>
      <c r="Y103" s="3">
        <v>4373</v>
      </c>
      <c r="Z103" s="3">
        <v>90.4</v>
      </c>
      <c r="AA103" s="4">
        <f t="shared" si="9"/>
        <v>0</v>
      </c>
      <c r="AB103" s="4">
        <f t="shared" si="10"/>
        <v>0</v>
      </c>
      <c r="AC103" s="4">
        <f t="shared" si="11"/>
        <v>0</v>
      </c>
    </row>
    <row r="104" spans="1:29">
      <c r="A104" s="3" t="s">
        <v>47</v>
      </c>
      <c r="B104" s="5">
        <v>45717</v>
      </c>
      <c r="C104" s="3" t="s">
        <v>15</v>
      </c>
      <c r="D104" s="4">
        <f t="shared" si="12"/>
        <v>0</v>
      </c>
      <c r="E104" s="4">
        <f t="shared" si="13"/>
        <v>0</v>
      </c>
      <c r="F104" s="4">
        <f t="shared" si="14"/>
        <v>0</v>
      </c>
      <c r="G104" s="3" t="s">
        <v>28</v>
      </c>
      <c r="H104" s="3">
        <v>90084.4</v>
      </c>
      <c r="I104" s="3">
        <v>6832</v>
      </c>
      <c r="J104" s="3">
        <v>0.185</v>
      </c>
      <c r="K104" s="3">
        <v>14</v>
      </c>
      <c r="L104" s="3">
        <v>80.5</v>
      </c>
      <c r="M104" s="3">
        <v>0.77</v>
      </c>
      <c r="N104" s="4">
        <f t="shared" si="15"/>
        <v>0.77</v>
      </c>
      <c r="O104" s="3">
        <v>1</v>
      </c>
      <c r="P104" s="3">
        <v>4.4000000000000004</v>
      </c>
      <c r="Q104" s="4">
        <f t="shared" si="8"/>
        <v>4.4000000000000004</v>
      </c>
      <c r="R104" s="3">
        <v>740102.64</v>
      </c>
      <c r="S104" s="3">
        <v>114299.07</v>
      </c>
      <c r="X104" s="3">
        <v>90084.4</v>
      </c>
      <c r="Y104" s="3">
        <v>6832</v>
      </c>
      <c r="Z104" s="3">
        <v>80.5</v>
      </c>
      <c r="AA104" s="4">
        <f t="shared" si="9"/>
        <v>0</v>
      </c>
      <c r="AB104" s="4">
        <f t="shared" si="10"/>
        <v>0</v>
      </c>
      <c r="AC104" s="4">
        <f t="shared" si="11"/>
        <v>0</v>
      </c>
    </row>
    <row r="105" spans="1:29">
      <c r="A105" s="3" t="s">
        <v>47</v>
      </c>
      <c r="B105" s="5">
        <v>45748</v>
      </c>
      <c r="C105" s="3" t="s">
        <v>15</v>
      </c>
      <c r="D105" s="4">
        <f t="shared" si="12"/>
        <v>0</v>
      </c>
      <c r="E105" s="4">
        <f t="shared" si="13"/>
        <v>0</v>
      </c>
      <c r="F105" s="4">
        <f t="shared" si="14"/>
        <v>0</v>
      </c>
      <c r="G105" s="3" t="s">
        <v>28</v>
      </c>
      <c r="H105" s="3">
        <v>32266.639999999999</v>
      </c>
      <c r="I105" s="3">
        <v>2414</v>
      </c>
      <c r="J105" s="3">
        <v>0.08</v>
      </c>
      <c r="K105" s="3">
        <v>7</v>
      </c>
      <c r="L105" s="3">
        <v>92.1</v>
      </c>
      <c r="M105" s="3">
        <v>1.48</v>
      </c>
      <c r="N105" s="4">
        <f t="shared" si="15"/>
        <v>1.48</v>
      </c>
      <c r="O105" s="3">
        <v>0</v>
      </c>
      <c r="P105" s="3">
        <v>5</v>
      </c>
      <c r="Q105" s="4">
        <f t="shared" si="8"/>
        <v>5</v>
      </c>
      <c r="R105" s="3">
        <v>625514.04</v>
      </c>
      <c r="S105" s="3">
        <v>120685.08</v>
      </c>
      <c r="X105" s="3">
        <v>32266.639999999999</v>
      </c>
      <c r="Y105" s="3">
        <v>2414</v>
      </c>
      <c r="Z105" s="3">
        <v>92.1</v>
      </c>
      <c r="AA105" s="4">
        <f t="shared" si="9"/>
        <v>0</v>
      </c>
      <c r="AB105" s="4">
        <f t="shared" si="10"/>
        <v>0</v>
      </c>
      <c r="AC105" s="4">
        <f t="shared" si="11"/>
        <v>0</v>
      </c>
    </row>
    <row r="106" spans="1:29">
      <c r="A106" s="3" t="s">
        <v>48</v>
      </c>
      <c r="B106" s="5">
        <v>45658</v>
      </c>
      <c r="C106" s="3" t="s">
        <v>27</v>
      </c>
      <c r="D106" s="4">
        <f t="shared" si="12"/>
        <v>0</v>
      </c>
      <c r="E106" s="4">
        <f t="shared" si="13"/>
        <v>0</v>
      </c>
      <c r="F106" s="4">
        <f t="shared" si="14"/>
        <v>1</v>
      </c>
      <c r="G106" s="3" t="s">
        <v>18</v>
      </c>
      <c r="H106" s="3">
        <v>57919.07</v>
      </c>
      <c r="I106" s="3">
        <v>7374</v>
      </c>
      <c r="J106" s="3">
        <v>0.10299999999999999</v>
      </c>
      <c r="K106" s="3">
        <v>21</v>
      </c>
      <c r="L106" s="3">
        <v>82.3</v>
      </c>
      <c r="M106" s="3">
        <v>2.87</v>
      </c>
      <c r="N106" s="4">
        <f>IF(M106="",MEDIAN($M$2:$M$321),M106)</f>
        <v>2.87</v>
      </c>
      <c r="O106" s="3">
        <v>0</v>
      </c>
      <c r="P106" s="3">
        <v>2.9</v>
      </c>
      <c r="Q106" s="4">
        <f t="shared" si="8"/>
        <v>2.9</v>
      </c>
      <c r="R106" s="3">
        <v>727227.2</v>
      </c>
      <c r="S106" s="3">
        <v>121292.01</v>
      </c>
      <c r="X106" s="3">
        <v>57919.07</v>
      </c>
      <c r="Y106" s="3">
        <v>7374</v>
      </c>
      <c r="Z106" s="3">
        <v>82.3</v>
      </c>
      <c r="AA106" s="4">
        <f t="shared" si="9"/>
        <v>0</v>
      </c>
      <c r="AB106" s="4">
        <f t="shared" si="10"/>
        <v>0</v>
      </c>
      <c r="AC106" s="4">
        <f t="shared" si="11"/>
        <v>0</v>
      </c>
    </row>
    <row r="107" spans="1:29">
      <c r="A107" s="3" t="s">
        <v>48</v>
      </c>
      <c r="B107" s="5">
        <v>45689</v>
      </c>
      <c r="C107" s="3" t="s">
        <v>27</v>
      </c>
      <c r="D107" s="4">
        <f t="shared" si="12"/>
        <v>0</v>
      </c>
      <c r="E107" s="4">
        <f t="shared" si="13"/>
        <v>0</v>
      </c>
      <c r="F107" s="4">
        <f t="shared" si="14"/>
        <v>1</v>
      </c>
      <c r="G107" s="3" t="s">
        <v>18</v>
      </c>
      <c r="H107" s="3">
        <v>74679.350000000006</v>
      </c>
      <c r="I107" s="3">
        <v>8739</v>
      </c>
      <c r="J107" s="3">
        <v>5.6000000000000001E-2</v>
      </c>
      <c r="K107" s="3">
        <v>21</v>
      </c>
      <c r="L107" s="3">
        <v>91.8</v>
      </c>
      <c r="M107" s="3">
        <v>2.83</v>
      </c>
      <c r="N107" s="4">
        <f t="shared" ref="N107:N170" si="16">IF(M107="",MEDIAN($M$2:$M$321),M107)</f>
        <v>2.83</v>
      </c>
      <c r="O107" s="3">
        <v>0</v>
      </c>
      <c r="P107" s="3">
        <v>3</v>
      </c>
      <c r="Q107" s="4">
        <f t="shared" si="8"/>
        <v>3</v>
      </c>
      <c r="R107" s="3">
        <v>783797.89</v>
      </c>
      <c r="S107" s="3">
        <v>157620.70000000001</v>
      </c>
      <c r="X107" s="3">
        <v>74679.350000000006</v>
      </c>
      <c r="Y107" s="3">
        <v>8739</v>
      </c>
      <c r="Z107" s="3">
        <v>91.8</v>
      </c>
      <c r="AA107" s="4">
        <f t="shared" si="9"/>
        <v>0</v>
      </c>
      <c r="AB107" s="4">
        <f t="shared" si="10"/>
        <v>0</v>
      </c>
      <c r="AC107" s="4">
        <f t="shared" si="11"/>
        <v>0</v>
      </c>
    </row>
    <row r="108" spans="1:29">
      <c r="A108" s="3" t="s">
        <v>48</v>
      </c>
      <c r="B108" s="5">
        <v>45717</v>
      </c>
      <c r="C108" s="3" t="s">
        <v>27</v>
      </c>
      <c r="D108" s="4">
        <f t="shared" si="12"/>
        <v>0</v>
      </c>
      <c r="E108" s="4">
        <f t="shared" si="13"/>
        <v>0</v>
      </c>
      <c r="F108" s="4">
        <f t="shared" si="14"/>
        <v>1</v>
      </c>
      <c r="G108" s="3" t="s">
        <v>18</v>
      </c>
      <c r="H108" s="3">
        <v>64294.23</v>
      </c>
      <c r="I108" s="3">
        <v>6992</v>
      </c>
      <c r="J108" s="3">
        <v>0.13300000000000001</v>
      </c>
      <c r="K108" s="3">
        <v>14</v>
      </c>
      <c r="L108" s="3">
        <v>94.1</v>
      </c>
      <c r="M108" s="3">
        <v>0.25</v>
      </c>
      <c r="N108" s="4">
        <f t="shared" si="16"/>
        <v>0.25</v>
      </c>
      <c r="O108" s="3">
        <v>0</v>
      </c>
      <c r="P108" s="3">
        <v>3</v>
      </c>
      <c r="Q108" s="4">
        <f t="shared" si="8"/>
        <v>3</v>
      </c>
      <c r="R108" s="3">
        <v>795153.84</v>
      </c>
      <c r="S108" s="3">
        <v>143194.21</v>
      </c>
      <c r="X108" s="3">
        <v>64294.23</v>
      </c>
      <c r="Y108" s="3">
        <v>6992</v>
      </c>
      <c r="Z108" s="3">
        <v>94.1</v>
      </c>
      <c r="AA108" s="4">
        <f t="shared" si="9"/>
        <v>0</v>
      </c>
      <c r="AB108" s="4">
        <f t="shared" si="10"/>
        <v>0</v>
      </c>
      <c r="AC108" s="4">
        <f t="shared" si="11"/>
        <v>0</v>
      </c>
    </row>
    <row r="109" spans="1:29">
      <c r="A109" s="3" t="s">
        <v>48</v>
      </c>
      <c r="B109" s="5">
        <v>45748</v>
      </c>
      <c r="C109" s="3" t="s">
        <v>27</v>
      </c>
      <c r="D109" s="4">
        <f t="shared" si="12"/>
        <v>0</v>
      </c>
      <c r="E109" s="4">
        <f t="shared" si="13"/>
        <v>0</v>
      </c>
      <c r="F109" s="4">
        <f t="shared" si="14"/>
        <v>1</v>
      </c>
      <c r="G109" s="3" t="s">
        <v>18</v>
      </c>
      <c r="H109" s="3">
        <v>31042.03</v>
      </c>
      <c r="I109" s="3">
        <v>7107</v>
      </c>
      <c r="J109" s="3">
        <v>5.0999999999999997E-2</v>
      </c>
      <c r="K109" s="3">
        <v>15</v>
      </c>
      <c r="L109" s="3">
        <v>87</v>
      </c>
      <c r="M109" s="3">
        <v>13.33</v>
      </c>
      <c r="N109" s="4">
        <f t="shared" si="16"/>
        <v>13.33</v>
      </c>
      <c r="O109" s="3">
        <v>0</v>
      </c>
      <c r="P109" s="3">
        <v>3.2</v>
      </c>
      <c r="Q109" s="4">
        <f t="shared" si="8"/>
        <v>3.2</v>
      </c>
      <c r="R109" s="3">
        <v>665594.93999999994</v>
      </c>
      <c r="S109" s="3">
        <v>127597.34</v>
      </c>
      <c r="X109" s="3">
        <v>31042.03</v>
      </c>
      <c r="Y109" s="3">
        <v>7107</v>
      </c>
      <c r="Z109" s="3">
        <v>87</v>
      </c>
      <c r="AA109" s="4">
        <f t="shared" si="9"/>
        <v>0</v>
      </c>
      <c r="AB109" s="4">
        <f t="shared" si="10"/>
        <v>0</v>
      </c>
      <c r="AC109" s="4">
        <f t="shared" si="11"/>
        <v>0</v>
      </c>
    </row>
    <row r="110" spans="1:29">
      <c r="A110" s="3" t="s">
        <v>49</v>
      </c>
      <c r="B110" s="5">
        <v>45658</v>
      </c>
      <c r="C110" s="3" t="s">
        <v>15</v>
      </c>
      <c r="D110" s="4">
        <f t="shared" si="12"/>
        <v>0</v>
      </c>
      <c r="E110" s="4">
        <f t="shared" si="13"/>
        <v>0</v>
      </c>
      <c r="F110" s="4">
        <f t="shared" si="14"/>
        <v>0</v>
      </c>
      <c r="G110" s="3" t="s">
        <v>28</v>
      </c>
      <c r="H110" s="3">
        <v>75265.02</v>
      </c>
      <c r="I110" s="3">
        <v>6975</v>
      </c>
      <c r="J110" s="3">
        <v>0.157</v>
      </c>
      <c r="K110" s="3">
        <v>20</v>
      </c>
      <c r="L110" s="3">
        <v>73.8</v>
      </c>
      <c r="M110" s="3">
        <v>6.35</v>
      </c>
      <c r="N110" s="4">
        <f t="shared" si="16"/>
        <v>6.35</v>
      </c>
      <c r="O110" s="3">
        <v>1</v>
      </c>
      <c r="P110" s="3">
        <v>3.8</v>
      </c>
      <c r="Q110" s="4">
        <f t="shared" si="8"/>
        <v>3.8</v>
      </c>
      <c r="R110" s="3">
        <v>709478.39</v>
      </c>
      <c r="S110" s="3">
        <v>71294.27</v>
      </c>
      <c r="X110" s="3">
        <v>75265.02</v>
      </c>
      <c r="Y110" s="3">
        <v>6975</v>
      </c>
      <c r="Z110" s="3">
        <v>73.8</v>
      </c>
      <c r="AA110" s="4">
        <f t="shared" si="9"/>
        <v>0</v>
      </c>
      <c r="AB110" s="4">
        <f t="shared" si="10"/>
        <v>0</v>
      </c>
      <c r="AC110" s="4">
        <f t="shared" si="11"/>
        <v>0</v>
      </c>
    </row>
    <row r="111" spans="1:29">
      <c r="A111" s="3" t="s">
        <v>49</v>
      </c>
      <c r="B111" s="5">
        <v>45689</v>
      </c>
      <c r="C111" s="3" t="s">
        <v>15</v>
      </c>
      <c r="D111" s="4">
        <f t="shared" si="12"/>
        <v>0</v>
      </c>
      <c r="E111" s="4">
        <f t="shared" si="13"/>
        <v>0</v>
      </c>
      <c r="F111" s="4">
        <f t="shared" si="14"/>
        <v>0</v>
      </c>
      <c r="G111" s="3" t="s">
        <v>28</v>
      </c>
      <c r="H111" s="3">
        <v>69411.7</v>
      </c>
      <c r="I111" s="3">
        <v>5493</v>
      </c>
      <c r="J111" s="3">
        <v>0.29199999999999998</v>
      </c>
      <c r="K111" s="3">
        <v>13</v>
      </c>
      <c r="L111" s="3">
        <v>86.5</v>
      </c>
      <c r="M111" s="3">
        <v>6.69</v>
      </c>
      <c r="N111" s="4">
        <f t="shared" si="16"/>
        <v>6.69</v>
      </c>
      <c r="O111" s="3">
        <v>0</v>
      </c>
      <c r="P111" s="3">
        <v>3.8</v>
      </c>
      <c r="Q111" s="4">
        <f t="shared" si="8"/>
        <v>3.8</v>
      </c>
      <c r="R111" s="3">
        <v>664162.49</v>
      </c>
      <c r="S111" s="3">
        <v>98291.06</v>
      </c>
      <c r="X111" s="3">
        <v>69411.7</v>
      </c>
      <c r="Y111" s="3">
        <v>5493</v>
      </c>
      <c r="Z111" s="3">
        <v>86.5</v>
      </c>
      <c r="AA111" s="4">
        <f t="shared" si="9"/>
        <v>0</v>
      </c>
      <c r="AB111" s="4">
        <f t="shared" si="10"/>
        <v>0</v>
      </c>
      <c r="AC111" s="4">
        <f t="shared" si="11"/>
        <v>0</v>
      </c>
    </row>
    <row r="112" spans="1:29">
      <c r="A112" s="3" t="s">
        <v>49</v>
      </c>
      <c r="B112" s="5">
        <v>45717</v>
      </c>
      <c r="C112" s="3" t="s">
        <v>15</v>
      </c>
      <c r="D112" s="4">
        <f t="shared" si="12"/>
        <v>0</v>
      </c>
      <c r="E112" s="4">
        <f t="shared" si="13"/>
        <v>0</v>
      </c>
      <c r="F112" s="4">
        <f t="shared" si="14"/>
        <v>0</v>
      </c>
      <c r="G112" s="3" t="s">
        <v>28</v>
      </c>
      <c r="H112" s="3">
        <v>51056.15</v>
      </c>
      <c r="I112" s="3">
        <v>5686</v>
      </c>
      <c r="J112" s="3">
        <v>8.8999999999999996E-2</v>
      </c>
      <c r="K112" s="3">
        <v>13</v>
      </c>
      <c r="L112" s="3">
        <v>89.9</v>
      </c>
      <c r="M112" s="3">
        <v>1.28</v>
      </c>
      <c r="N112" s="4">
        <f t="shared" si="16"/>
        <v>1.28</v>
      </c>
      <c r="O112" s="3">
        <v>0</v>
      </c>
      <c r="P112" s="3">
        <v>4.2</v>
      </c>
      <c r="Q112" s="4">
        <f t="shared" si="8"/>
        <v>4.2</v>
      </c>
      <c r="R112" s="3">
        <v>633494.21</v>
      </c>
      <c r="S112" s="3">
        <v>105739.47</v>
      </c>
      <c r="X112" s="3">
        <v>51056.15</v>
      </c>
      <c r="Y112" s="3">
        <v>5686</v>
      </c>
      <c r="Z112" s="3">
        <v>89.9</v>
      </c>
      <c r="AA112" s="4">
        <f t="shared" si="9"/>
        <v>0</v>
      </c>
      <c r="AB112" s="4">
        <f t="shared" si="10"/>
        <v>0</v>
      </c>
      <c r="AC112" s="4">
        <f t="shared" si="11"/>
        <v>0</v>
      </c>
    </row>
    <row r="113" spans="1:29">
      <c r="A113" s="3" t="s">
        <v>49</v>
      </c>
      <c r="B113" s="5">
        <v>45748</v>
      </c>
      <c r="C113" s="3" t="s">
        <v>15</v>
      </c>
      <c r="D113" s="4">
        <f t="shared" si="12"/>
        <v>0</v>
      </c>
      <c r="E113" s="4">
        <f t="shared" si="13"/>
        <v>0</v>
      </c>
      <c r="F113" s="4">
        <f t="shared" si="14"/>
        <v>0</v>
      </c>
      <c r="G113" s="3" t="s">
        <v>28</v>
      </c>
      <c r="H113" s="3">
        <v>52758.01</v>
      </c>
      <c r="I113" s="3">
        <v>4063</v>
      </c>
      <c r="J113" s="3">
        <v>5.7000000000000002E-2</v>
      </c>
      <c r="K113" s="3">
        <v>12</v>
      </c>
      <c r="L113" s="3">
        <v>91.7</v>
      </c>
      <c r="M113" s="3">
        <v>0.92</v>
      </c>
      <c r="N113" s="4">
        <f t="shared" si="16"/>
        <v>0.92</v>
      </c>
      <c r="O113" s="3">
        <v>0</v>
      </c>
      <c r="P113" s="3">
        <v>3.5</v>
      </c>
      <c r="Q113" s="4">
        <f t="shared" si="8"/>
        <v>3.5</v>
      </c>
      <c r="R113" s="3">
        <v>713611.16</v>
      </c>
      <c r="S113" s="3">
        <v>129717.18</v>
      </c>
      <c r="X113" s="3">
        <v>52758.01</v>
      </c>
      <c r="Y113" s="3">
        <v>4063</v>
      </c>
      <c r="Z113" s="3">
        <v>91.7</v>
      </c>
      <c r="AA113" s="4">
        <f t="shared" si="9"/>
        <v>0</v>
      </c>
      <c r="AB113" s="4">
        <f t="shared" si="10"/>
        <v>0</v>
      </c>
      <c r="AC113" s="4">
        <f t="shared" si="11"/>
        <v>0</v>
      </c>
    </row>
    <row r="114" spans="1:29">
      <c r="A114" s="3" t="s">
        <v>50</v>
      </c>
      <c r="B114" s="5">
        <v>45658</v>
      </c>
      <c r="C114" s="3" t="s">
        <v>27</v>
      </c>
      <c r="D114" s="4">
        <f t="shared" si="12"/>
        <v>0</v>
      </c>
      <c r="E114" s="4">
        <f t="shared" si="13"/>
        <v>0</v>
      </c>
      <c r="F114" s="4">
        <f t="shared" si="14"/>
        <v>1</v>
      </c>
      <c r="G114" s="3" t="s">
        <v>28</v>
      </c>
      <c r="H114" s="3">
        <v>61426.04</v>
      </c>
      <c r="I114" s="3">
        <v>8966</v>
      </c>
      <c r="J114" s="3">
        <v>0.17299999999999999</v>
      </c>
      <c r="K114" s="3">
        <v>22</v>
      </c>
      <c r="L114" s="3">
        <v>76.400000000000006</v>
      </c>
      <c r="M114" s="3">
        <v>1.05</v>
      </c>
      <c r="N114" s="4">
        <f t="shared" si="16"/>
        <v>1.05</v>
      </c>
      <c r="O114" s="3">
        <v>0</v>
      </c>
      <c r="P114" s="3">
        <v>3.1</v>
      </c>
      <c r="Q114" s="4">
        <f t="shared" si="8"/>
        <v>3.1</v>
      </c>
      <c r="R114" s="3">
        <v>778397.97</v>
      </c>
      <c r="S114" s="3">
        <v>120044.41</v>
      </c>
      <c r="X114" s="3">
        <v>61426.04</v>
      </c>
      <c r="Y114" s="3">
        <v>8966</v>
      </c>
      <c r="Z114" s="3">
        <v>76.400000000000006</v>
      </c>
      <c r="AA114" s="4">
        <f t="shared" si="9"/>
        <v>0</v>
      </c>
      <c r="AB114" s="4">
        <f t="shared" si="10"/>
        <v>0</v>
      </c>
      <c r="AC114" s="4">
        <f t="shared" si="11"/>
        <v>0</v>
      </c>
    </row>
    <row r="115" spans="1:29">
      <c r="A115" s="3" t="s">
        <v>50</v>
      </c>
      <c r="B115" s="5">
        <v>45689</v>
      </c>
      <c r="C115" s="3" t="s">
        <v>27</v>
      </c>
      <c r="D115" s="4">
        <f t="shared" si="12"/>
        <v>0</v>
      </c>
      <c r="E115" s="4">
        <f t="shared" si="13"/>
        <v>0</v>
      </c>
      <c r="F115" s="4">
        <f t="shared" si="14"/>
        <v>1</v>
      </c>
      <c r="G115" s="3" t="s">
        <v>28</v>
      </c>
      <c r="H115" s="3">
        <v>80176.34</v>
      </c>
      <c r="I115" s="3">
        <v>9489</v>
      </c>
      <c r="J115" s="3">
        <v>0.14199999999999999</v>
      </c>
      <c r="K115" s="3">
        <v>22</v>
      </c>
      <c r="L115" s="3">
        <v>94.3</v>
      </c>
      <c r="M115" s="3">
        <v>2.67</v>
      </c>
      <c r="N115" s="4">
        <f t="shared" si="16"/>
        <v>2.67</v>
      </c>
      <c r="O115" s="3">
        <v>0</v>
      </c>
      <c r="P115" s="3">
        <v>3.5</v>
      </c>
      <c r="Q115" s="4">
        <f t="shared" si="8"/>
        <v>3.5</v>
      </c>
      <c r="R115" s="3">
        <v>873380.02</v>
      </c>
      <c r="S115" s="3">
        <v>149734.76</v>
      </c>
      <c r="X115" s="3">
        <v>80176.34</v>
      </c>
      <c r="Y115" s="3">
        <v>9489</v>
      </c>
      <c r="Z115" s="3">
        <v>94.3</v>
      </c>
      <c r="AA115" s="4">
        <f t="shared" si="9"/>
        <v>0</v>
      </c>
      <c r="AB115" s="4">
        <f t="shared" si="10"/>
        <v>0</v>
      </c>
      <c r="AC115" s="4">
        <f t="shared" si="11"/>
        <v>0</v>
      </c>
    </row>
    <row r="116" spans="1:29">
      <c r="A116" s="3" t="s">
        <v>50</v>
      </c>
      <c r="B116" s="5">
        <v>45717</v>
      </c>
      <c r="C116" s="3" t="s">
        <v>27</v>
      </c>
      <c r="D116" s="4">
        <f t="shared" si="12"/>
        <v>0</v>
      </c>
      <c r="E116" s="4">
        <f t="shared" si="13"/>
        <v>0</v>
      </c>
      <c r="F116" s="4">
        <f t="shared" si="14"/>
        <v>1</v>
      </c>
      <c r="G116" s="3" t="s">
        <v>28</v>
      </c>
      <c r="H116" s="3">
        <v>33605.18</v>
      </c>
      <c r="I116" s="3">
        <v>9225</v>
      </c>
      <c r="J116" s="3">
        <v>0.159</v>
      </c>
      <c r="K116" s="3">
        <v>23</v>
      </c>
      <c r="L116" s="3">
        <v>88.4</v>
      </c>
      <c r="M116" s="3">
        <v>5.91</v>
      </c>
      <c r="N116" s="4">
        <f t="shared" si="16"/>
        <v>5.91</v>
      </c>
      <c r="O116" s="3">
        <v>0</v>
      </c>
      <c r="P116" s="3">
        <v>2.8</v>
      </c>
      <c r="Q116" s="4">
        <f t="shared" si="8"/>
        <v>2.8</v>
      </c>
      <c r="R116" s="3">
        <v>697287.9</v>
      </c>
      <c r="S116" s="3">
        <v>128208.33</v>
      </c>
      <c r="X116" s="3">
        <v>33605.18</v>
      </c>
      <c r="Y116" s="3">
        <v>9225</v>
      </c>
      <c r="Z116" s="3">
        <v>88.4</v>
      </c>
      <c r="AA116" s="4">
        <f t="shared" si="9"/>
        <v>0</v>
      </c>
      <c r="AB116" s="4">
        <f t="shared" si="10"/>
        <v>0</v>
      </c>
      <c r="AC116" s="4">
        <f t="shared" si="11"/>
        <v>0</v>
      </c>
    </row>
    <row r="117" spans="1:29">
      <c r="A117" s="3" t="s">
        <v>50</v>
      </c>
      <c r="B117" s="5">
        <v>45748</v>
      </c>
      <c r="C117" s="3" t="s">
        <v>27</v>
      </c>
      <c r="D117" s="4">
        <f t="shared" si="12"/>
        <v>0</v>
      </c>
      <c r="E117" s="4">
        <f t="shared" si="13"/>
        <v>0</v>
      </c>
      <c r="F117" s="4">
        <f t="shared" si="14"/>
        <v>1</v>
      </c>
      <c r="G117" s="3" t="s">
        <v>28</v>
      </c>
      <c r="H117" s="3">
        <v>25990.54</v>
      </c>
      <c r="I117" s="3">
        <v>9249</v>
      </c>
      <c r="J117" s="3">
        <v>0.13900000000000001</v>
      </c>
      <c r="K117" s="3">
        <v>23</v>
      </c>
      <c r="L117" s="3">
        <v>92.5</v>
      </c>
      <c r="M117" s="3">
        <v>6.37</v>
      </c>
      <c r="N117" s="4">
        <f t="shared" si="16"/>
        <v>6.37</v>
      </c>
      <c r="O117" s="3">
        <v>0</v>
      </c>
      <c r="P117" s="3">
        <v>3.3</v>
      </c>
      <c r="Q117" s="4">
        <f t="shared" si="8"/>
        <v>3.3</v>
      </c>
      <c r="R117" s="3">
        <v>718074.79</v>
      </c>
      <c r="S117" s="3">
        <v>115819.87</v>
      </c>
      <c r="X117" s="3">
        <v>25990.54</v>
      </c>
      <c r="Y117" s="3">
        <v>9249</v>
      </c>
      <c r="Z117" s="3">
        <v>92.5</v>
      </c>
      <c r="AA117" s="4">
        <f t="shared" si="9"/>
        <v>0</v>
      </c>
      <c r="AB117" s="4">
        <f t="shared" si="10"/>
        <v>0</v>
      </c>
      <c r="AC117" s="4">
        <f t="shared" si="11"/>
        <v>0</v>
      </c>
    </row>
    <row r="118" spans="1:29">
      <c r="A118" s="3" t="s">
        <v>51</v>
      </c>
      <c r="B118" s="5">
        <v>45658</v>
      </c>
      <c r="C118" s="3" t="s">
        <v>27</v>
      </c>
      <c r="D118" s="4">
        <f t="shared" si="12"/>
        <v>0</v>
      </c>
      <c r="E118" s="4">
        <f t="shared" si="13"/>
        <v>0</v>
      </c>
      <c r="F118" s="4">
        <f t="shared" si="14"/>
        <v>1</v>
      </c>
      <c r="G118" s="3" t="s">
        <v>16</v>
      </c>
      <c r="H118" s="3">
        <v>43685.14</v>
      </c>
      <c r="I118" s="3">
        <v>7821</v>
      </c>
      <c r="J118" s="3">
        <v>0.19</v>
      </c>
      <c r="K118" s="3">
        <v>17</v>
      </c>
      <c r="L118" s="3">
        <v>91</v>
      </c>
      <c r="M118" s="3">
        <v>2.4900000000000002</v>
      </c>
      <c r="N118" s="4">
        <f t="shared" si="16"/>
        <v>2.4900000000000002</v>
      </c>
      <c r="O118" s="3">
        <v>1</v>
      </c>
      <c r="P118" s="3">
        <v>4.7</v>
      </c>
      <c r="Q118" s="4">
        <f t="shared" si="8"/>
        <v>4.7</v>
      </c>
      <c r="R118" s="3">
        <v>714942.43</v>
      </c>
      <c r="S118" s="3">
        <v>94697.71</v>
      </c>
      <c r="X118" s="3">
        <v>43685.14</v>
      </c>
      <c r="Y118" s="3">
        <v>7821</v>
      </c>
      <c r="Z118" s="3">
        <v>91</v>
      </c>
      <c r="AA118" s="4">
        <f t="shared" si="9"/>
        <v>0</v>
      </c>
      <c r="AB118" s="4">
        <f t="shared" si="10"/>
        <v>0</v>
      </c>
      <c r="AC118" s="4">
        <f t="shared" si="11"/>
        <v>0</v>
      </c>
    </row>
    <row r="119" spans="1:29">
      <c r="A119" s="3" t="s">
        <v>51</v>
      </c>
      <c r="B119" s="5">
        <v>45689</v>
      </c>
      <c r="C119" s="3" t="s">
        <v>27</v>
      </c>
      <c r="D119" s="4">
        <f t="shared" si="12"/>
        <v>0</v>
      </c>
      <c r="E119" s="4">
        <f t="shared" si="13"/>
        <v>0</v>
      </c>
      <c r="F119" s="4">
        <f t="shared" si="14"/>
        <v>1</v>
      </c>
      <c r="G119" s="3" t="s">
        <v>16</v>
      </c>
      <c r="H119" s="3">
        <v>57360.01</v>
      </c>
      <c r="I119" s="3">
        <v>8434</v>
      </c>
      <c r="J119" s="3">
        <v>0.151</v>
      </c>
      <c r="K119" s="3">
        <v>19</v>
      </c>
      <c r="L119" s="3">
        <v>84.1</v>
      </c>
      <c r="M119" s="3">
        <v>1.56</v>
      </c>
      <c r="N119" s="4">
        <f t="shared" si="16"/>
        <v>1.56</v>
      </c>
      <c r="O119" s="3">
        <v>0</v>
      </c>
      <c r="P119" s="3">
        <v>4.7</v>
      </c>
      <c r="Q119" s="4">
        <f t="shared" si="8"/>
        <v>4.7</v>
      </c>
      <c r="R119" s="3">
        <v>820519.04</v>
      </c>
      <c r="S119" s="3">
        <v>99035.88</v>
      </c>
      <c r="X119" s="3">
        <v>57360.01</v>
      </c>
      <c r="Y119" s="3">
        <v>8434</v>
      </c>
      <c r="Z119" s="3">
        <v>84.1</v>
      </c>
      <c r="AA119" s="4">
        <f t="shared" si="9"/>
        <v>0</v>
      </c>
      <c r="AB119" s="4">
        <f t="shared" si="10"/>
        <v>0</v>
      </c>
      <c r="AC119" s="4">
        <f t="shared" si="11"/>
        <v>0</v>
      </c>
    </row>
    <row r="120" spans="1:29">
      <c r="A120" s="3" t="s">
        <v>51</v>
      </c>
      <c r="B120" s="5">
        <v>45717</v>
      </c>
      <c r="C120" s="3" t="s">
        <v>27</v>
      </c>
      <c r="D120" s="4">
        <f t="shared" si="12"/>
        <v>0</v>
      </c>
      <c r="E120" s="4">
        <f t="shared" si="13"/>
        <v>0</v>
      </c>
      <c r="F120" s="4">
        <f t="shared" si="14"/>
        <v>1</v>
      </c>
      <c r="G120" s="3" t="s">
        <v>16</v>
      </c>
      <c r="H120" s="3">
        <v>42415.47</v>
      </c>
      <c r="I120" s="3">
        <v>8512</v>
      </c>
      <c r="J120" s="3">
        <v>0.13300000000000001</v>
      </c>
      <c r="K120" s="3">
        <v>18</v>
      </c>
      <c r="L120" s="3">
        <v>96.8</v>
      </c>
      <c r="M120" s="3">
        <v>14.95</v>
      </c>
      <c r="N120" s="4">
        <f t="shared" si="16"/>
        <v>14.95</v>
      </c>
      <c r="O120" s="3">
        <v>0</v>
      </c>
      <c r="P120" s="3">
        <v>4.5999999999999996</v>
      </c>
      <c r="Q120" s="4">
        <f t="shared" si="8"/>
        <v>4.5999999999999996</v>
      </c>
      <c r="R120" s="3">
        <v>684217.32</v>
      </c>
      <c r="S120" s="3">
        <v>136217.19</v>
      </c>
      <c r="X120" s="3">
        <v>42415.47</v>
      </c>
      <c r="Y120" s="3">
        <v>8512</v>
      </c>
      <c r="Z120" s="3">
        <v>96.8</v>
      </c>
      <c r="AA120" s="4">
        <f t="shared" si="9"/>
        <v>0</v>
      </c>
      <c r="AB120" s="4">
        <f t="shared" si="10"/>
        <v>0</v>
      </c>
      <c r="AC120" s="4">
        <f t="shared" si="11"/>
        <v>0</v>
      </c>
    </row>
    <row r="121" spans="1:29">
      <c r="A121" s="3" t="s">
        <v>51</v>
      </c>
      <c r="B121" s="5">
        <v>45748</v>
      </c>
      <c r="C121" s="3" t="s">
        <v>27</v>
      </c>
      <c r="D121" s="4">
        <f t="shared" si="12"/>
        <v>0</v>
      </c>
      <c r="E121" s="4">
        <f t="shared" si="13"/>
        <v>0</v>
      </c>
      <c r="F121" s="4">
        <f t="shared" si="14"/>
        <v>1</v>
      </c>
      <c r="G121" s="3" t="s">
        <v>16</v>
      </c>
      <c r="H121" s="3">
        <v>54968.98</v>
      </c>
      <c r="I121" s="3">
        <v>7816</v>
      </c>
      <c r="J121" s="3">
        <v>0.23200000000000001</v>
      </c>
      <c r="K121" s="3">
        <v>19</v>
      </c>
      <c r="L121" s="3">
        <v>95.7</v>
      </c>
      <c r="M121" s="3">
        <v>7.85</v>
      </c>
      <c r="N121" s="4">
        <f t="shared" si="16"/>
        <v>7.85</v>
      </c>
      <c r="O121" s="3">
        <v>0</v>
      </c>
      <c r="P121" s="3">
        <v>4.7</v>
      </c>
      <c r="Q121" s="4">
        <f t="shared" si="8"/>
        <v>4.7</v>
      </c>
      <c r="R121" s="3">
        <v>735480.19</v>
      </c>
      <c r="S121" s="3">
        <v>88342.11</v>
      </c>
      <c r="X121" s="3">
        <v>54968.98</v>
      </c>
      <c r="Y121" s="3">
        <v>7816</v>
      </c>
      <c r="Z121" s="3">
        <v>95.7</v>
      </c>
      <c r="AA121" s="4">
        <f t="shared" si="9"/>
        <v>0</v>
      </c>
      <c r="AB121" s="4">
        <f t="shared" si="10"/>
        <v>0</v>
      </c>
      <c r="AC121" s="4">
        <f t="shared" si="11"/>
        <v>0</v>
      </c>
    </row>
    <row r="122" spans="1:29">
      <c r="A122" s="3" t="s">
        <v>52</v>
      </c>
      <c r="B122" s="5">
        <v>45658</v>
      </c>
      <c r="C122" s="3" t="s">
        <v>20</v>
      </c>
      <c r="D122" s="4">
        <f t="shared" si="12"/>
        <v>1</v>
      </c>
      <c r="E122" s="4">
        <f t="shared" si="13"/>
        <v>0</v>
      </c>
      <c r="F122" s="4">
        <f t="shared" si="14"/>
        <v>0</v>
      </c>
      <c r="G122" s="3" t="s">
        <v>18</v>
      </c>
      <c r="H122" s="3">
        <v>43896.13</v>
      </c>
      <c r="I122" s="3">
        <v>3853</v>
      </c>
      <c r="J122" s="3">
        <v>8.7999999999999995E-2</v>
      </c>
      <c r="K122" s="3">
        <v>13</v>
      </c>
      <c r="L122" s="3">
        <v>83</v>
      </c>
      <c r="M122" s="3">
        <v>6.8</v>
      </c>
      <c r="N122" s="4">
        <f t="shared" si="16"/>
        <v>6.8</v>
      </c>
      <c r="O122" s="3">
        <v>0</v>
      </c>
      <c r="P122" s="3">
        <v>4.4000000000000004</v>
      </c>
      <c r="Q122" s="4">
        <f t="shared" si="8"/>
        <v>4.4000000000000004</v>
      </c>
      <c r="R122" s="3">
        <v>509484.81</v>
      </c>
      <c r="S122" s="3">
        <v>85742.36</v>
      </c>
      <c r="X122" s="3">
        <v>43896.13</v>
      </c>
      <c r="Y122" s="3">
        <v>3853</v>
      </c>
      <c r="Z122" s="3">
        <v>83</v>
      </c>
      <c r="AA122" s="4">
        <f t="shared" si="9"/>
        <v>0</v>
      </c>
      <c r="AB122" s="4">
        <f t="shared" si="10"/>
        <v>0</v>
      </c>
      <c r="AC122" s="4">
        <f t="shared" si="11"/>
        <v>0</v>
      </c>
    </row>
    <row r="123" spans="1:29">
      <c r="A123" s="3" t="s">
        <v>52</v>
      </c>
      <c r="B123" s="5">
        <v>45689</v>
      </c>
      <c r="C123" s="3" t="s">
        <v>20</v>
      </c>
      <c r="D123" s="4">
        <f t="shared" si="12"/>
        <v>1</v>
      </c>
      <c r="E123" s="4">
        <f t="shared" si="13"/>
        <v>0</v>
      </c>
      <c r="F123" s="4">
        <f t="shared" si="14"/>
        <v>0</v>
      </c>
      <c r="G123" s="3" t="s">
        <v>18</v>
      </c>
      <c r="H123" s="3">
        <v>83044.17</v>
      </c>
      <c r="I123" s="3">
        <v>3694</v>
      </c>
      <c r="J123" s="3">
        <v>0</v>
      </c>
      <c r="K123" s="3">
        <v>14</v>
      </c>
      <c r="L123" s="3">
        <v>89.4</v>
      </c>
      <c r="M123" s="3">
        <v>2.2000000000000002</v>
      </c>
      <c r="N123" s="4">
        <f t="shared" si="16"/>
        <v>2.2000000000000002</v>
      </c>
      <c r="O123" s="3">
        <v>0</v>
      </c>
      <c r="P123" s="3">
        <v>3.7</v>
      </c>
      <c r="Q123" s="4">
        <f t="shared" si="8"/>
        <v>3.7</v>
      </c>
      <c r="R123" s="3">
        <v>654317.09</v>
      </c>
      <c r="S123" s="3">
        <v>121446.89</v>
      </c>
      <c r="X123" s="3">
        <v>83044.17</v>
      </c>
      <c r="Y123" s="3">
        <v>3694</v>
      </c>
      <c r="Z123" s="3">
        <v>89.4</v>
      </c>
      <c r="AA123" s="4">
        <f t="shared" si="9"/>
        <v>0</v>
      </c>
      <c r="AB123" s="4">
        <f t="shared" si="10"/>
        <v>0</v>
      </c>
      <c r="AC123" s="4">
        <f t="shared" si="11"/>
        <v>0</v>
      </c>
    </row>
    <row r="124" spans="1:29">
      <c r="A124" s="3" t="s">
        <v>52</v>
      </c>
      <c r="B124" s="5">
        <v>45717</v>
      </c>
      <c r="C124" s="3" t="s">
        <v>20</v>
      </c>
      <c r="D124" s="4">
        <f t="shared" si="12"/>
        <v>1</v>
      </c>
      <c r="E124" s="4">
        <f t="shared" si="13"/>
        <v>0</v>
      </c>
      <c r="F124" s="4">
        <f t="shared" si="14"/>
        <v>0</v>
      </c>
      <c r="G124" s="3" t="s">
        <v>18</v>
      </c>
      <c r="H124" s="3">
        <v>48396.13</v>
      </c>
      <c r="I124" s="3">
        <v>4423</v>
      </c>
      <c r="J124" s="3">
        <v>6.9000000000000006E-2</v>
      </c>
      <c r="K124" s="3">
        <v>15</v>
      </c>
      <c r="L124" s="3">
        <v>85.7</v>
      </c>
      <c r="M124" s="3">
        <v>1.88</v>
      </c>
      <c r="N124" s="4">
        <f t="shared" si="16"/>
        <v>1.88</v>
      </c>
      <c r="O124" s="3">
        <v>0</v>
      </c>
      <c r="P124" s="3">
        <v>3.9</v>
      </c>
      <c r="Q124" s="4">
        <f t="shared" si="8"/>
        <v>3.9</v>
      </c>
      <c r="R124" s="3">
        <v>557487.26</v>
      </c>
      <c r="S124" s="3">
        <v>76432.19</v>
      </c>
      <c r="X124" s="3">
        <v>48396.13</v>
      </c>
      <c r="Y124" s="3">
        <v>4423</v>
      </c>
      <c r="Z124" s="3">
        <v>85.7</v>
      </c>
      <c r="AA124" s="4">
        <f t="shared" si="9"/>
        <v>0</v>
      </c>
      <c r="AB124" s="4">
        <f t="shared" si="10"/>
        <v>0</v>
      </c>
      <c r="AC124" s="4">
        <f t="shared" si="11"/>
        <v>0</v>
      </c>
    </row>
    <row r="125" spans="1:29">
      <c r="A125" s="3" t="s">
        <v>52</v>
      </c>
      <c r="B125" s="5">
        <v>45748</v>
      </c>
      <c r="C125" s="3" t="s">
        <v>20</v>
      </c>
      <c r="D125" s="4">
        <f t="shared" si="12"/>
        <v>1</v>
      </c>
      <c r="E125" s="4">
        <f t="shared" si="13"/>
        <v>0</v>
      </c>
      <c r="F125" s="4">
        <f t="shared" si="14"/>
        <v>0</v>
      </c>
      <c r="G125" s="3" t="s">
        <v>18</v>
      </c>
      <c r="H125" s="3">
        <v>19063.48</v>
      </c>
      <c r="I125" s="3">
        <v>1906</v>
      </c>
      <c r="J125" s="3">
        <v>0.216</v>
      </c>
      <c r="K125" s="3">
        <v>10</v>
      </c>
      <c r="L125" s="3">
        <v>97.8</v>
      </c>
      <c r="M125" s="3">
        <v>15.79</v>
      </c>
      <c r="N125" s="4">
        <f t="shared" si="16"/>
        <v>15.79</v>
      </c>
      <c r="O125" s="3">
        <v>0</v>
      </c>
      <c r="P125" s="3">
        <v>4.4000000000000004</v>
      </c>
      <c r="Q125" s="4">
        <f t="shared" si="8"/>
        <v>4.4000000000000004</v>
      </c>
      <c r="R125" s="3">
        <v>441275.42</v>
      </c>
      <c r="S125" s="3">
        <v>58234.87</v>
      </c>
      <c r="X125" s="3">
        <v>19063.48</v>
      </c>
      <c r="Y125" s="3">
        <v>1906</v>
      </c>
      <c r="Z125" s="3">
        <v>97.8</v>
      </c>
      <c r="AA125" s="4">
        <f t="shared" si="9"/>
        <v>0</v>
      </c>
      <c r="AB125" s="4">
        <f t="shared" si="10"/>
        <v>0</v>
      </c>
      <c r="AC125" s="4">
        <f t="shared" si="11"/>
        <v>0</v>
      </c>
    </row>
    <row r="126" spans="1:29">
      <c r="A126" s="3" t="s">
        <v>53</v>
      </c>
      <c r="B126" s="5">
        <v>45658</v>
      </c>
      <c r="C126" s="3" t="s">
        <v>24</v>
      </c>
      <c r="D126" s="4">
        <f t="shared" si="12"/>
        <v>0</v>
      </c>
      <c r="E126" s="4">
        <f t="shared" si="13"/>
        <v>1</v>
      </c>
      <c r="F126" s="4">
        <f t="shared" si="14"/>
        <v>0</v>
      </c>
      <c r="G126" s="3" t="s">
        <v>18</v>
      </c>
      <c r="H126" s="3">
        <v>61541.21</v>
      </c>
      <c r="I126" s="3">
        <v>10396</v>
      </c>
      <c r="J126" s="3">
        <v>0.123</v>
      </c>
      <c r="K126" s="3">
        <v>25</v>
      </c>
      <c r="L126" s="3">
        <v>88.1</v>
      </c>
      <c r="M126" s="3">
        <v>2.34</v>
      </c>
      <c r="N126" s="4">
        <f t="shared" si="16"/>
        <v>2.34</v>
      </c>
      <c r="O126" s="3">
        <v>1</v>
      </c>
      <c r="P126" s="3">
        <v>4.8</v>
      </c>
      <c r="Q126" s="4">
        <f t="shared" si="8"/>
        <v>4.8</v>
      </c>
      <c r="R126" s="3">
        <v>914544.17</v>
      </c>
      <c r="S126" s="3">
        <v>79831.73</v>
      </c>
      <c r="X126" s="3">
        <v>61541.21</v>
      </c>
      <c r="Y126" s="3">
        <v>10396</v>
      </c>
      <c r="Z126" s="3">
        <v>88.1</v>
      </c>
      <c r="AA126" s="4">
        <f t="shared" si="9"/>
        <v>0</v>
      </c>
      <c r="AB126" s="4">
        <f t="shared" si="10"/>
        <v>0</v>
      </c>
      <c r="AC126" s="4">
        <f t="shared" si="11"/>
        <v>0</v>
      </c>
    </row>
    <row r="127" spans="1:29">
      <c r="A127" s="3" t="s">
        <v>53</v>
      </c>
      <c r="B127" s="5">
        <v>45689</v>
      </c>
      <c r="C127" s="3" t="s">
        <v>24</v>
      </c>
      <c r="D127" s="4">
        <f t="shared" si="12"/>
        <v>0</v>
      </c>
      <c r="E127" s="4">
        <f t="shared" si="13"/>
        <v>1</v>
      </c>
      <c r="F127" s="4">
        <f t="shared" si="14"/>
        <v>0</v>
      </c>
      <c r="G127" s="3" t="s">
        <v>18</v>
      </c>
      <c r="H127" s="3">
        <v>44747</v>
      </c>
      <c r="I127" s="3">
        <v>11076</v>
      </c>
      <c r="J127" s="3">
        <v>0.17599999999999999</v>
      </c>
      <c r="K127" s="3">
        <v>27</v>
      </c>
      <c r="L127" s="3">
        <v>98.3</v>
      </c>
      <c r="M127" s="3">
        <v>0.54</v>
      </c>
      <c r="N127" s="4">
        <f t="shared" si="16"/>
        <v>0.54</v>
      </c>
      <c r="O127" s="3">
        <v>0</v>
      </c>
      <c r="P127" s="3">
        <v>4.4000000000000004</v>
      </c>
      <c r="Q127" s="4">
        <f t="shared" si="8"/>
        <v>4.4000000000000004</v>
      </c>
      <c r="R127" s="3">
        <v>842439.67</v>
      </c>
      <c r="S127" s="3">
        <v>169983.63</v>
      </c>
      <c r="X127" s="3">
        <v>44747</v>
      </c>
      <c r="Y127" s="3">
        <v>11076</v>
      </c>
      <c r="Z127" s="3">
        <v>98.3</v>
      </c>
      <c r="AA127" s="4">
        <f t="shared" si="9"/>
        <v>0</v>
      </c>
      <c r="AB127" s="4">
        <f t="shared" si="10"/>
        <v>0</v>
      </c>
      <c r="AC127" s="4">
        <f t="shared" si="11"/>
        <v>0</v>
      </c>
    </row>
    <row r="128" spans="1:29">
      <c r="A128" s="3" t="s">
        <v>53</v>
      </c>
      <c r="B128" s="5">
        <v>45717</v>
      </c>
      <c r="C128" s="3" t="s">
        <v>24</v>
      </c>
      <c r="D128" s="4">
        <f t="shared" si="12"/>
        <v>0</v>
      </c>
      <c r="E128" s="4">
        <f t="shared" si="13"/>
        <v>1</v>
      </c>
      <c r="F128" s="4">
        <f t="shared" si="14"/>
        <v>0</v>
      </c>
      <c r="G128" s="3" t="s">
        <v>18</v>
      </c>
      <c r="H128" s="3">
        <v>56517.9</v>
      </c>
      <c r="I128" s="3">
        <v>9574</v>
      </c>
      <c r="J128" s="3">
        <v>0.20399999999999999</v>
      </c>
      <c r="K128" s="3">
        <v>20</v>
      </c>
      <c r="L128" s="3">
        <v>88.2</v>
      </c>
      <c r="M128" s="3">
        <v>5.37</v>
      </c>
      <c r="N128" s="4">
        <f t="shared" si="16"/>
        <v>5.37</v>
      </c>
      <c r="O128" s="3">
        <v>1</v>
      </c>
      <c r="P128" s="3">
        <v>4.9000000000000004</v>
      </c>
      <c r="Q128" s="4">
        <f t="shared" si="8"/>
        <v>4.9000000000000004</v>
      </c>
      <c r="R128" s="3">
        <v>842157.92</v>
      </c>
      <c r="S128" s="3">
        <v>107348.22</v>
      </c>
      <c r="X128" s="3">
        <v>56517.9</v>
      </c>
      <c r="Y128" s="3">
        <v>9574</v>
      </c>
      <c r="Z128" s="3">
        <v>88.2</v>
      </c>
      <c r="AA128" s="4">
        <f t="shared" si="9"/>
        <v>0</v>
      </c>
      <c r="AB128" s="4">
        <f t="shared" si="10"/>
        <v>0</v>
      </c>
      <c r="AC128" s="4">
        <f t="shared" si="11"/>
        <v>0</v>
      </c>
    </row>
    <row r="129" spans="1:29">
      <c r="A129" s="3" t="s">
        <v>53</v>
      </c>
      <c r="B129" s="5">
        <v>45748</v>
      </c>
      <c r="C129" s="3" t="s">
        <v>24</v>
      </c>
      <c r="D129" s="4">
        <f t="shared" si="12"/>
        <v>0</v>
      </c>
      <c r="E129" s="4">
        <f t="shared" si="13"/>
        <v>1</v>
      </c>
      <c r="F129" s="4">
        <f t="shared" si="14"/>
        <v>0</v>
      </c>
      <c r="G129" s="3" t="s">
        <v>18</v>
      </c>
      <c r="H129" s="3">
        <v>37828.5</v>
      </c>
      <c r="I129" s="3">
        <v>8221</v>
      </c>
      <c r="J129" s="3">
        <v>9.6000000000000002E-2</v>
      </c>
      <c r="K129" s="3">
        <v>19</v>
      </c>
      <c r="L129" s="3">
        <v>81.5</v>
      </c>
      <c r="M129" s="3">
        <v>3.19</v>
      </c>
      <c r="N129" s="4">
        <f t="shared" si="16"/>
        <v>3.19</v>
      </c>
      <c r="O129" s="3">
        <v>0</v>
      </c>
      <c r="P129" s="3">
        <v>4.8</v>
      </c>
      <c r="Q129" s="4">
        <f t="shared" si="8"/>
        <v>4.8</v>
      </c>
      <c r="R129" s="3">
        <v>697155.3</v>
      </c>
      <c r="S129" s="3">
        <v>136408.54</v>
      </c>
      <c r="X129" s="3">
        <v>37828.5</v>
      </c>
      <c r="Y129" s="3">
        <v>8221</v>
      </c>
      <c r="Z129" s="3">
        <v>81.5</v>
      </c>
      <c r="AA129" s="4">
        <f t="shared" si="9"/>
        <v>0</v>
      </c>
      <c r="AB129" s="4">
        <f t="shared" si="10"/>
        <v>0</v>
      </c>
      <c r="AC129" s="4">
        <f t="shared" si="11"/>
        <v>0</v>
      </c>
    </row>
    <row r="130" spans="1:29">
      <c r="A130" s="3" t="s">
        <v>54</v>
      </c>
      <c r="B130" s="5">
        <v>45658</v>
      </c>
      <c r="C130" s="3" t="s">
        <v>15</v>
      </c>
      <c r="D130" s="4">
        <f t="shared" si="12"/>
        <v>0</v>
      </c>
      <c r="E130" s="4">
        <f t="shared" si="13"/>
        <v>0</v>
      </c>
      <c r="F130" s="4">
        <f t="shared" si="14"/>
        <v>0</v>
      </c>
      <c r="G130" s="3" t="s">
        <v>18</v>
      </c>
      <c r="H130" s="3">
        <v>66250.53</v>
      </c>
      <c r="I130" s="3">
        <v>10618</v>
      </c>
      <c r="J130" s="3">
        <v>0.14199999999999999</v>
      </c>
      <c r="K130" s="3">
        <v>27</v>
      </c>
      <c r="L130" s="3">
        <v>88.3</v>
      </c>
      <c r="M130" s="3">
        <v>1.1000000000000001</v>
      </c>
      <c r="N130" s="4">
        <f t="shared" si="16"/>
        <v>1.1000000000000001</v>
      </c>
      <c r="O130" s="3">
        <v>1</v>
      </c>
      <c r="P130" s="3">
        <v>4.4000000000000004</v>
      </c>
      <c r="Q130" s="4">
        <f t="shared" ref="Q130:Q193" si="17">IF(P130="",$Q$324,P130)</f>
        <v>4.4000000000000004</v>
      </c>
      <c r="R130" s="3">
        <v>849018.3</v>
      </c>
      <c r="S130" s="3">
        <v>149035.13</v>
      </c>
      <c r="X130" s="3">
        <v>66250.53</v>
      </c>
      <c r="Y130" s="3">
        <v>10618</v>
      </c>
      <c r="Z130" s="3">
        <v>88.3</v>
      </c>
      <c r="AA130" s="4">
        <f t="shared" ref="AA130:AA193" si="18">IF(T130="North",1,0)</f>
        <v>0</v>
      </c>
      <c r="AB130" s="4">
        <f t="shared" ref="AB130:AB193" si="19">IF(T130="South",1,0)</f>
        <v>0</v>
      </c>
      <c r="AC130" s="4">
        <f t="shared" ref="AC130:AC193" si="20">IF(T130="West",1,0)</f>
        <v>0</v>
      </c>
    </row>
    <row r="131" spans="1:29">
      <c r="A131" s="3" t="s">
        <v>54</v>
      </c>
      <c r="B131" s="5">
        <v>45689</v>
      </c>
      <c r="C131" s="3" t="s">
        <v>15</v>
      </c>
      <c r="D131" s="4">
        <f t="shared" ref="D131:D194" si="21">IF(C131="North",1,0)</f>
        <v>0</v>
      </c>
      <c r="E131" s="4">
        <f t="shared" ref="E131:E194" si="22">IF(C131="South",1,0)</f>
        <v>0</v>
      </c>
      <c r="F131" s="4">
        <f t="shared" ref="F131:F194" si="23">IF(C131="West",1,0)</f>
        <v>0</v>
      </c>
      <c r="G131" s="3" t="s">
        <v>18</v>
      </c>
      <c r="H131" s="3">
        <v>68410.929999999993</v>
      </c>
      <c r="I131" s="3">
        <v>10596</v>
      </c>
      <c r="J131" s="3">
        <v>0.20699999999999999</v>
      </c>
      <c r="K131" s="3">
        <v>25</v>
      </c>
      <c r="L131" s="3">
        <v>81.2</v>
      </c>
      <c r="M131" s="3">
        <v>0.21</v>
      </c>
      <c r="N131" s="4">
        <f t="shared" si="16"/>
        <v>0.21</v>
      </c>
      <c r="O131" s="3">
        <v>0</v>
      </c>
      <c r="P131" s="3">
        <v>4</v>
      </c>
      <c r="Q131" s="4">
        <f t="shared" si="17"/>
        <v>4</v>
      </c>
      <c r="R131" s="3">
        <v>801830.35</v>
      </c>
      <c r="S131" s="3">
        <v>114875.32</v>
      </c>
      <c r="X131" s="3">
        <v>68410.929999999993</v>
      </c>
      <c r="Y131" s="3">
        <v>10596</v>
      </c>
      <c r="Z131" s="3">
        <v>81.2</v>
      </c>
      <c r="AA131" s="4">
        <f t="shared" si="18"/>
        <v>0</v>
      </c>
      <c r="AB131" s="4">
        <f t="shared" si="19"/>
        <v>0</v>
      </c>
      <c r="AC131" s="4">
        <f t="shared" si="20"/>
        <v>0</v>
      </c>
    </row>
    <row r="132" spans="1:29">
      <c r="A132" s="3" t="s">
        <v>54</v>
      </c>
      <c r="B132" s="5">
        <v>45717</v>
      </c>
      <c r="C132" s="3" t="s">
        <v>15</v>
      </c>
      <c r="D132" s="4">
        <f t="shared" si="21"/>
        <v>0</v>
      </c>
      <c r="E132" s="4">
        <f t="shared" si="22"/>
        <v>0</v>
      </c>
      <c r="F132" s="4">
        <f t="shared" si="23"/>
        <v>0</v>
      </c>
      <c r="G132" s="3" t="s">
        <v>18</v>
      </c>
      <c r="H132" s="3">
        <v>50735.63</v>
      </c>
      <c r="I132" s="3">
        <v>9619</v>
      </c>
      <c r="J132" s="3">
        <v>0.14399999999999999</v>
      </c>
      <c r="K132" s="3">
        <v>19</v>
      </c>
      <c r="L132" s="3">
        <v>93.8</v>
      </c>
      <c r="M132" s="3">
        <v>5.12</v>
      </c>
      <c r="N132" s="4">
        <f t="shared" si="16"/>
        <v>5.12</v>
      </c>
      <c r="O132" s="3">
        <v>1</v>
      </c>
      <c r="P132" s="3">
        <v>4.5</v>
      </c>
      <c r="Q132" s="4">
        <f t="shared" si="17"/>
        <v>4.5</v>
      </c>
      <c r="R132" s="3">
        <v>725235.28</v>
      </c>
      <c r="S132" s="3">
        <v>121632.24</v>
      </c>
      <c r="X132" s="3">
        <v>50735.63</v>
      </c>
      <c r="Y132" s="3">
        <v>9619</v>
      </c>
      <c r="Z132" s="3">
        <v>93.8</v>
      </c>
      <c r="AA132" s="4">
        <f t="shared" si="18"/>
        <v>0</v>
      </c>
      <c r="AB132" s="4">
        <f t="shared" si="19"/>
        <v>0</v>
      </c>
      <c r="AC132" s="4">
        <f t="shared" si="20"/>
        <v>0</v>
      </c>
    </row>
    <row r="133" spans="1:29">
      <c r="A133" s="3" t="s">
        <v>54</v>
      </c>
      <c r="B133" s="5">
        <v>45748</v>
      </c>
      <c r="C133" s="3" t="s">
        <v>15</v>
      </c>
      <c r="D133" s="4">
        <f t="shared" si="21"/>
        <v>0</v>
      </c>
      <c r="E133" s="4">
        <f t="shared" si="22"/>
        <v>0</v>
      </c>
      <c r="F133" s="4">
        <f t="shared" si="23"/>
        <v>0</v>
      </c>
      <c r="G133" s="3" t="s">
        <v>18</v>
      </c>
      <c r="H133" s="3">
        <v>66455.8</v>
      </c>
      <c r="I133" s="3">
        <v>10836</v>
      </c>
      <c r="J133" s="3">
        <v>8.8999999999999996E-2</v>
      </c>
      <c r="K133" s="3">
        <v>25</v>
      </c>
      <c r="L133" s="3">
        <v>85</v>
      </c>
      <c r="M133" s="3">
        <v>9.77</v>
      </c>
      <c r="N133" s="4">
        <f t="shared" si="16"/>
        <v>9.77</v>
      </c>
      <c r="O133" s="3">
        <v>0</v>
      </c>
      <c r="P133" s="3">
        <v>4.5</v>
      </c>
      <c r="Q133" s="4">
        <f t="shared" si="17"/>
        <v>4.5</v>
      </c>
      <c r="R133" s="3">
        <v>811452.72</v>
      </c>
      <c r="S133" s="3">
        <v>131325.67000000001</v>
      </c>
      <c r="X133" s="3">
        <v>66455.8</v>
      </c>
      <c r="Y133" s="3">
        <v>10836</v>
      </c>
      <c r="Z133" s="3">
        <v>85</v>
      </c>
      <c r="AA133" s="4">
        <f t="shared" si="18"/>
        <v>0</v>
      </c>
      <c r="AB133" s="4">
        <f t="shared" si="19"/>
        <v>0</v>
      </c>
      <c r="AC133" s="4">
        <f t="shared" si="20"/>
        <v>0</v>
      </c>
    </row>
    <row r="134" spans="1:29">
      <c r="A134" s="3" t="s">
        <v>55</v>
      </c>
      <c r="B134" s="5">
        <v>45658</v>
      </c>
      <c r="C134" s="3" t="s">
        <v>20</v>
      </c>
      <c r="D134" s="4">
        <f t="shared" si="21"/>
        <v>1</v>
      </c>
      <c r="E134" s="4">
        <f t="shared" si="22"/>
        <v>0</v>
      </c>
      <c r="F134" s="4">
        <f t="shared" si="23"/>
        <v>0</v>
      </c>
      <c r="G134" s="3" t="s">
        <v>18</v>
      </c>
      <c r="H134" s="3">
        <v>70276.28</v>
      </c>
      <c r="I134" s="3">
        <v>3043</v>
      </c>
      <c r="J134" s="3">
        <v>7.9000000000000001E-2</v>
      </c>
      <c r="K134" s="3">
        <v>9</v>
      </c>
      <c r="L134" s="3">
        <v>87.9</v>
      </c>
      <c r="M134" s="3">
        <v>3.77</v>
      </c>
      <c r="N134" s="4">
        <f t="shared" si="16"/>
        <v>3.77</v>
      </c>
      <c r="O134" s="3">
        <v>0</v>
      </c>
      <c r="P134" s="3">
        <v>4.4000000000000004</v>
      </c>
      <c r="Q134" s="4">
        <f t="shared" si="17"/>
        <v>4.4000000000000004</v>
      </c>
      <c r="R134" s="3">
        <v>527300.13</v>
      </c>
      <c r="S134" s="3">
        <v>84197.87</v>
      </c>
      <c r="X134" s="3">
        <v>70276.28</v>
      </c>
      <c r="Y134" s="3">
        <v>3043</v>
      </c>
      <c r="Z134" s="3">
        <v>87.9</v>
      </c>
      <c r="AA134" s="4">
        <f t="shared" si="18"/>
        <v>0</v>
      </c>
      <c r="AB134" s="4">
        <f t="shared" si="19"/>
        <v>0</v>
      </c>
      <c r="AC134" s="4">
        <f t="shared" si="20"/>
        <v>0</v>
      </c>
    </row>
    <row r="135" spans="1:29">
      <c r="A135" s="3" t="s">
        <v>55</v>
      </c>
      <c r="B135" s="5">
        <v>45689</v>
      </c>
      <c r="C135" s="3" t="s">
        <v>20</v>
      </c>
      <c r="D135" s="4">
        <f t="shared" si="21"/>
        <v>1</v>
      </c>
      <c r="E135" s="4">
        <f t="shared" si="22"/>
        <v>0</v>
      </c>
      <c r="F135" s="4">
        <f t="shared" si="23"/>
        <v>0</v>
      </c>
      <c r="G135" s="3" t="s">
        <v>18</v>
      </c>
      <c r="H135" s="3">
        <v>22071.64</v>
      </c>
      <c r="I135" s="3">
        <v>1814</v>
      </c>
      <c r="J135" s="3">
        <v>0.19600000000000001</v>
      </c>
      <c r="K135" s="3">
        <v>8</v>
      </c>
      <c r="L135" s="3">
        <v>81.099999999999994</v>
      </c>
      <c r="M135" s="3">
        <v>0.78</v>
      </c>
      <c r="N135" s="4">
        <f t="shared" si="16"/>
        <v>0.78</v>
      </c>
      <c r="O135" s="3">
        <v>0</v>
      </c>
      <c r="P135" s="3"/>
      <c r="Q135" s="4">
        <f t="shared" si="17"/>
        <v>3.9</v>
      </c>
      <c r="R135" s="3">
        <v>400831.65</v>
      </c>
      <c r="S135" s="3">
        <v>70979.31</v>
      </c>
      <c r="X135" s="3">
        <v>22071.64</v>
      </c>
      <c r="Y135" s="3">
        <v>1814</v>
      </c>
      <c r="Z135" s="3">
        <v>81.099999999999994</v>
      </c>
      <c r="AA135" s="4">
        <f t="shared" si="18"/>
        <v>0</v>
      </c>
      <c r="AB135" s="4">
        <f t="shared" si="19"/>
        <v>0</v>
      </c>
      <c r="AC135" s="4">
        <f t="shared" si="20"/>
        <v>0</v>
      </c>
    </row>
    <row r="136" spans="1:29">
      <c r="A136" s="3" t="s">
        <v>55</v>
      </c>
      <c r="B136" s="5">
        <v>45717</v>
      </c>
      <c r="C136" s="3" t="s">
        <v>20</v>
      </c>
      <c r="D136" s="4">
        <f t="shared" si="21"/>
        <v>1</v>
      </c>
      <c r="E136" s="4">
        <f t="shared" si="22"/>
        <v>0</v>
      </c>
      <c r="F136" s="4">
        <f t="shared" si="23"/>
        <v>0</v>
      </c>
      <c r="G136" s="3" t="s">
        <v>18</v>
      </c>
      <c r="H136" s="3">
        <v>52285.45</v>
      </c>
      <c r="I136" s="3">
        <v>3618</v>
      </c>
      <c r="J136" s="3">
        <v>8.5999999999999993E-2</v>
      </c>
      <c r="K136" s="3">
        <v>11</v>
      </c>
      <c r="L136" s="3">
        <v>95.6</v>
      </c>
      <c r="M136" s="3">
        <v>5.17</v>
      </c>
      <c r="N136" s="4">
        <f t="shared" si="16"/>
        <v>5.17</v>
      </c>
      <c r="O136" s="3">
        <v>1</v>
      </c>
      <c r="P136" s="3">
        <v>4.4000000000000004</v>
      </c>
      <c r="Q136" s="4">
        <f t="shared" si="17"/>
        <v>4.4000000000000004</v>
      </c>
      <c r="R136" s="3">
        <v>593247.25</v>
      </c>
      <c r="S136" s="3">
        <v>81240.289999999994</v>
      </c>
      <c r="X136" s="3">
        <v>52285.45</v>
      </c>
      <c r="Y136" s="3">
        <v>3618</v>
      </c>
      <c r="Z136" s="3">
        <v>95.6</v>
      </c>
      <c r="AA136" s="4">
        <f t="shared" si="18"/>
        <v>0</v>
      </c>
      <c r="AB136" s="4">
        <f t="shared" si="19"/>
        <v>0</v>
      </c>
      <c r="AC136" s="4">
        <f t="shared" si="20"/>
        <v>0</v>
      </c>
    </row>
    <row r="137" spans="1:29">
      <c r="A137" s="3" t="s">
        <v>55</v>
      </c>
      <c r="B137" s="5">
        <v>45748</v>
      </c>
      <c r="C137" s="3" t="s">
        <v>20</v>
      </c>
      <c r="D137" s="4">
        <f t="shared" si="21"/>
        <v>1</v>
      </c>
      <c r="E137" s="4">
        <f t="shared" si="22"/>
        <v>0</v>
      </c>
      <c r="F137" s="4">
        <f t="shared" si="23"/>
        <v>0</v>
      </c>
      <c r="G137" s="3" t="s">
        <v>18</v>
      </c>
      <c r="H137" s="3">
        <v>70366.759999999995</v>
      </c>
      <c r="I137" s="3">
        <v>1963</v>
      </c>
      <c r="J137" s="3">
        <v>0.182</v>
      </c>
      <c r="K137" s="3">
        <v>8</v>
      </c>
      <c r="L137" s="3">
        <v>89.8</v>
      </c>
      <c r="M137" s="3">
        <v>3.2</v>
      </c>
      <c r="N137" s="4">
        <f t="shared" si="16"/>
        <v>3.2</v>
      </c>
      <c r="O137" s="3">
        <v>0</v>
      </c>
      <c r="P137" s="3">
        <v>4.5999999999999996</v>
      </c>
      <c r="Q137" s="4">
        <f t="shared" si="17"/>
        <v>4.5999999999999996</v>
      </c>
      <c r="R137" s="3">
        <v>529075.94999999995</v>
      </c>
      <c r="S137" s="3">
        <v>95978.83</v>
      </c>
      <c r="X137" s="3">
        <v>70366.759999999995</v>
      </c>
      <c r="Y137" s="3">
        <v>1963</v>
      </c>
      <c r="Z137" s="3">
        <v>89.8</v>
      </c>
      <c r="AA137" s="4">
        <f t="shared" si="18"/>
        <v>0</v>
      </c>
      <c r="AB137" s="4">
        <f t="shared" si="19"/>
        <v>0</v>
      </c>
      <c r="AC137" s="4">
        <f t="shared" si="20"/>
        <v>0</v>
      </c>
    </row>
    <row r="138" spans="1:29">
      <c r="A138" s="3" t="s">
        <v>56</v>
      </c>
      <c r="B138" s="5">
        <v>45658</v>
      </c>
      <c r="C138" s="3" t="s">
        <v>24</v>
      </c>
      <c r="D138" s="4">
        <f t="shared" si="21"/>
        <v>0</v>
      </c>
      <c r="E138" s="4">
        <f t="shared" si="22"/>
        <v>1</v>
      </c>
      <c r="F138" s="4">
        <f t="shared" si="23"/>
        <v>0</v>
      </c>
      <c r="G138" s="3" t="s">
        <v>16</v>
      </c>
      <c r="H138" s="3">
        <v>71320.66</v>
      </c>
      <c r="I138" s="3">
        <v>7888</v>
      </c>
      <c r="J138" s="3">
        <v>4.8000000000000001E-2</v>
      </c>
      <c r="K138" s="3">
        <v>20</v>
      </c>
      <c r="L138" s="3">
        <v>78.099999999999994</v>
      </c>
      <c r="M138" s="3">
        <v>3.4</v>
      </c>
      <c r="N138" s="4">
        <f t="shared" si="16"/>
        <v>3.4</v>
      </c>
      <c r="O138" s="3">
        <v>0</v>
      </c>
      <c r="P138" s="3"/>
      <c r="Q138" s="4">
        <f t="shared" si="17"/>
        <v>3.9</v>
      </c>
      <c r="R138" s="3">
        <v>633638.03</v>
      </c>
      <c r="S138" s="3">
        <v>99402.01</v>
      </c>
      <c r="X138" s="3">
        <v>71320.66</v>
      </c>
      <c r="Y138" s="3">
        <v>7888</v>
      </c>
      <c r="Z138" s="3">
        <v>78.099999999999994</v>
      </c>
      <c r="AA138" s="4">
        <f t="shared" si="18"/>
        <v>0</v>
      </c>
      <c r="AB138" s="4">
        <f t="shared" si="19"/>
        <v>0</v>
      </c>
      <c r="AC138" s="4">
        <f t="shared" si="20"/>
        <v>0</v>
      </c>
    </row>
    <row r="139" spans="1:29">
      <c r="A139" s="3" t="s">
        <v>56</v>
      </c>
      <c r="B139" s="5">
        <v>45689</v>
      </c>
      <c r="C139" s="3" t="s">
        <v>24</v>
      </c>
      <c r="D139" s="4">
        <f t="shared" si="21"/>
        <v>0</v>
      </c>
      <c r="E139" s="4">
        <f t="shared" si="22"/>
        <v>1</v>
      </c>
      <c r="F139" s="4">
        <f t="shared" si="23"/>
        <v>0</v>
      </c>
      <c r="G139" s="3" t="s">
        <v>16</v>
      </c>
      <c r="H139" s="3">
        <v>75109.67</v>
      </c>
      <c r="I139" s="3">
        <v>6244</v>
      </c>
      <c r="J139" s="3">
        <v>7.9000000000000001E-2</v>
      </c>
      <c r="K139" s="3">
        <v>15</v>
      </c>
      <c r="L139" s="3">
        <v>96.3</v>
      </c>
      <c r="M139" s="3">
        <v>7.38</v>
      </c>
      <c r="N139" s="4">
        <f t="shared" si="16"/>
        <v>7.38</v>
      </c>
      <c r="O139" s="3">
        <v>0</v>
      </c>
      <c r="P139" s="3">
        <v>3.7</v>
      </c>
      <c r="Q139" s="4">
        <f t="shared" si="17"/>
        <v>3.7</v>
      </c>
      <c r="R139" s="3">
        <v>743348.84</v>
      </c>
      <c r="S139" s="3">
        <v>104186.09</v>
      </c>
      <c r="X139" s="3">
        <v>75109.67</v>
      </c>
      <c r="Y139" s="3">
        <v>6244</v>
      </c>
      <c r="Z139" s="3">
        <v>96.3</v>
      </c>
      <c r="AA139" s="4">
        <f t="shared" si="18"/>
        <v>0</v>
      </c>
      <c r="AB139" s="4">
        <f t="shared" si="19"/>
        <v>0</v>
      </c>
      <c r="AC139" s="4">
        <f t="shared" si="20"/>
        <v>0</v>
      </c>
    </row>
    <row r="140" spans="1:29">
      <c r="A140" s="3" t="s">
        <v>56</v>
      </c>
      <c r="B140" s="5">
        <v>45717</v>
      </c>
      <c r="C140" s="3" t="s">
        <v>24</v>
      </c>
      <c r="D140" s="4">
        <f t="shared" si="21"/>
        <v>0</v>
      </c>
      <c r="E140" s="4">
        <f t="shared" si="22"/>
        <v>1</v>
      </c>
      <c r="F140" s="4">
        <f t="shared" si="23"/>
        <v>0</v>
      </c>
      <c r="G140" s="3" t="s">
        <v>16</v>
      </c>
      <c r="H140" s="3">
        <v>69779</v>
      </c>
      <c r="I140" s="3">
        <v>6544</v>
      </c>
      <c r="J140" s="3">
        <v>0.152</v>
      </c>
      <c r="K140" s="3">
        <v>18</v>
      </c>
      <c r="L140" s="3">
        <v>90.2</v>
      </c>
      <c r="M140" s="3">
        <v>0.85</v>
      </c>
      <c r="N140" s="4">
        <f t="shared" si="16"/>
        <v>0.85</v>
      </c>
      <c r="O140" s="3">
        <v>1</v>
      </c>
      <c r="P140" s="3">
        <v>3.3</v>
      </c>
      <c r="Q140" s="4">
        <f t="shared" si="17"/>
        <v>3.3</v>
      </c>
      <c r="R140" s="3">
        <v>758827.64</v>
      </c>
      <c r="S140" s="3">
        <v>161439.48000000001</v>
      </c>
      <c r="X140" s="3">
        <v>69779</v>
      </c>
      <c r="Y140" s="3">
        <v>6544</v>
      </c>
      <c r="Z140" s="3">
        <v>90.2</v>
      </c>
      <c r="AA140" s="4">
        <f t="shared" si="18"/>
        <v>0</v>
      </c>
      <c r="AB140" s="4">
        <f t="shared" si="19"/>
        <v>0</v>
      </c>
      <c r="AC140" s="4">
        <f t="shared" si="20"/>
        <v>0</v>
      </c>
    </row>
    <row r="141" spans="1:29">
      <c r="A141" s="3" t="s">
        <v>56</v>
      </c>
      <c r="B141" s="5">
        <v>45748</v>
      </c>
      <c r="C141" s="3" t="s">
        <v>24</v>
      </c>
      <c r="D141" s="4">
        <f t="shared" si="21"/>
        <v>0</v>
      </c>
      <c r="E141" s="4">
        <f t="shared" si="22"/>
        <v>1</v>
      </c>
      <c r="F141" s="4">
        <f t="shared" si="23"/>
        <v>0</v>
      </c>
      <c r="G141" s="3" t="s">
        <v>16</v>
      </c>
      <c r="H141" s="3">
        <v>44211.95</v>
      </c>
      <c r="I141" s="3">
        <v>5465</v>
      </c>
      <c r="J141" s="3">
        <v>0.187</v>
      </c>
      <c r="K141" s="3">
        <v>12</v>
      </c>
      <c r="L141" s="3">
        <v>90</v>
      </c>
      <c r="M141" s="3">
        <v>2.89</v>
      </c>
      <c r="N141" s="4">
        <f t="shared" si="16"/>
        <v>2.89</v>
      </c>
      <c r="O141" s="3">
        <v>0</v>
      </c>
      <c r="P141" s="3">
        <v>3.6</v>
      </c>
      <c r="Q141" s="4">
        <f t="shared" si="17"/>
        <v>3.6</v>
      </c>
      <c r="R141" s="3">
        <v>646559.71</v>
      </c>
      <c r="S141" s="3">
        <v>97981.75</v>
      </c>
      <c r="X141" s="3">
        <v>44211.95</v>
      </c>
      <c r="Y141" s="3">
        <v>5465</v>
      </c>
      <c r="Z141" s="3">
        <v>90</v>
      </c>
      <c r="AA141" s="4">
        <f t="shared" si="18"/>
        <v>0</v>
      </c>
      <c r="AB141" s="4">
        <f t="shared" si="19"/>
        <v>0</v>
      </c>
      <c r="AC141" s="4">
        <f t="shared" si="20"/>
        <v>0</v>
      </c>
    </row>
    <row r="142" spans="1:29">
      <c r="A142" s="3" t="s">
        <v>57</v>
      </c>
      <c r="B142" s="5">
        <v>45658</v>
      </c>
      <c r="C142" s="3" t="s">
        <v>27</v>
      </c>
      <c r="D142" s="4">
        <f t="shared" si="21"/>
        <v>0</v>
      </c>
      <c r="E142" s="4">
        <f t="shared" si="22"/>
        <v>0</v>
      </c>
      <c r="F142" s="4">
        <f t="shared" si="23"/>
        <v>1</v>
      </c>
      <c r="G142" s="3" t="s">
        <v>18</v>
      </c>
      <c r="H142" s="3">
        <v>51430.31</v>
      </c>
      <c r="I142" s="3">
        <v>6427</v>
      </c>
      <c r="J142" s="3">
        <v>0.23400000000000001</v>
      </c>
      <c r="K142" s="3">
        <v>14</v>
      </c>
      <c r="L142" s="3">
        <v>88.8</v>
      </c>
      <c r="M142" s="3">
        <v>0.77</v>
      </c>
      <c r="N142" s="4">
        <f t="shared" si="16"/>
        <v>0.77</v>
      </c>
      <c r="O142" s="3">
        <v>0</v>
      </c>
      <c r="P142" s="3">
        <v>4.0999999999999996</v>
      </c>
      <c r="Q142" s="4">
        <f t="shared" si="17"/>
        <v>4.0999999999999996</v>
      </c>
      <c r="R142" s="3">
        <v>715890.53</v>
      </c>
      <c r="S142" s="3">
        <v>109032.15</v>
      </c>
      <c r="X142" s="3">
        <v>51430.31</v>
      </c>
      <c r="Y142" s="3">
        <v>6427</v>
      </c>
      <c r="Z142" s="3">
        <v>88.8</v>
      </c>
      <c r="AA142" s="4">
        <f t="shared" si="18"/>
        <v>0</v>
      </c>
      <c r="AB142" s="4">
        <f t="shared" si="19"/>
        <v>0</v>
      </c>
      <c r="AC142" s="4">
        <f t="shared" si="20"/>
        <v>0</v>
      </c>
    </row>
    <row r="143" spans="1:29">
      <c r="A143" s="3" t="s">
        <v>57</v>
      </c>
      <c r="B143" s="5">
        <v>45689</v>
      </c>
      <c r="C143" s="3" t="s">
        <v>27</v>
      </c>
      <c r="D143" s="4">
        <f t="shared" si="21"/>
        <v>0</v>
      </c>
      <c r="E143" s="4">
        <f t="shared" si="22"/>
        <v>0</v>
      </c>
      <c r="F143" s="4">
        <f t="shared" si="23"/>
        <v>1</v>
      </c>
      <c r="G143" s="3" t="s">
        <v>18</v>
      </c>
      <c r="H143" s="3">
        <v>45706.49</v>
      </c>
      <c r="I143" s="3">
        <v>6704</v>
      </c>
      <c r="J143" s="3">
        <v>3.7999999999999999E-2</v>
      </c>
      <c r="K143" s="3">
        <v>15</v>
      </c>
      <c r="L143" s="3">
        <v>94.2</v>
      </c>
      <c r="M143" s="3">
        <v>2.92</v>
      </c>
      <c r="N143" s="4">
        <f t="shared" si="16"/>
        <v>2.92</v>
      </c>
      <c r="O143" s="3">
        <v>0</v>
      </c>
      <c r="P143" s="3">
        <v>4.2</v>
      </c>
      <c r="Q143" s="4">
        <f t="shared" si="17"/>
        <v>4.2</v>
      </c>
      <c r="R143" s="3">
        <v>715097.57</v>
      </c>
      <c r="S143" s="3">
        <v>151875.85999999999</v>
      </c>
      <c r="X143" s="3">
        <v>45706.49</v>
      </c>
      <c r="Y143" s="3">
        <v>6704</v>
      </c>
      <c r="Z143" s="3">
        <v>94.2</v>
      </c>
      <c r="AA143" s="4">
        <f t="shared" si="18"/>
        <v>0</v>
      </c>
      <c r="AB143" s="4">
        <f t="shared" si="19"/>
        <v>0</v>
      </c>
      <c r="AC143" s="4">
        <f t="shared" si="20"/>
        <v>0</v>
      </c>
    </row>
    <row r="144" spans="1:29">
      <c r="A144" s="3" t="s">
        <v>57</v>
      </c>
      <c r="B144" s="5">
        <v>45717</v>
      </c>
      <c r="C144" s="3" t="s">
        <v>27</v>
      </c>
      <c r="D144" s="4">
        <f t="shared" si="21"/>
        <v>0</v>
      </c>
      <c r="E144" s="4">
        <f t="shared" si="22"/>
        <v>0</v>
      </c>
      <c r="F144" s="4">
        <f t="shared" si="23"/>
        <v>1</v>
      </c>
      <c r="G144" s="3" t="s">
        <v>18</v>
      </c>
      <c r="H144" s="3">
        <v>44034.6</v>
      </c>
      <c r="I144" s="3">
        <v>5645</v>
      </c>
      <c r="J144" s="3">
        <v>6.9000000000000006E-2</v>
      </c>
      <c r="K144" s="3">
        <v>18</v>
      </c>
      <c r="L144" s="3">
        <v>88.5</v>
      </c>
      <c r="M144" s="3">
        <v>3.07</v>
      </c>
      <c r="N144" s="4">
        <f t="shared" si="16"/>
        <v>3.07</v>
      </c>
      <c r="O144" s="3">
        <v>0</v>
      </c>
      <c r="P144" s="3">
        <v>3.8</v>
      </c>
      <c r="Q144" s="4">
        <f t="shared" si="17"/>
        <v>3.8</v>
      </c>
      <c r="R144" s="3">
        <v>682639.28</v>
      </c>
      <c r="S144" s="3">
        <v>77557.53</v>
      </c>
      <c r="X144" s="3">
        <v>44034.6</v>
      </c>
      <c r="Y144" s="3">
        <v>5645</v>
      </c>
      <c r="Z144" s="3">
        <v>88.5</v>
      </c>
      <c r="AA144" s="4">
        <f t="shared" si="18"/>
        <v>0</v>
      </c>
      <c r="AB144" s="4">
        <f t="shared" si="19"/>
        <v>0</v>
      </c>
      <c r="AC144" s="4">
        <f t="shared" si="20"/>
        <v>0</v>
      </c>
    </row>
    <row r="145" spans="1:29">
      <c r="A145" s="3" t="s">
        <v>57</v>
      </c>
      <c r="B145" s="5">
        <v>45748</v>
      </c>
      <c r="C145" s="3" t="s">
        <v>27</v>
      </c>
      <c r="D145" s="4">
        <f t="shared" si="21"/>
        <v>0</v>
      </c>
      <c r="E145" s="4">
        <f t="shared" si="22"/>
        <v>0</v>
      </c>
      <c r="F145" s="4">
        <f t="shared" si="23"/>
        <v>1</v>
      </c>
      <c r="G145" s="3" t="s">
        <v>18</v>
      </c>
      <c r="H145" s="3">
        <v>50198.12</v>
      </c>
      <c r="I145" s="3">
        <v>6089</v>
      </c>
      <c r="J145" s="3">
        <v>0.182</v>
      </c>
      <c r="K145" s="3">
        <v>19</v>
      </c>
      <c r="L145" s="3">
        <v>94</v>
      </c>
      <c r="M145" s="3">
        <v>9.6999999999999993</v>
      </c>
      <c r="N145" s="4">
        <f t="shared" si="16"/>
        <v>9.6999999999999993</v>
      </c>
      <c r="O145" s="3">
        <v>0</v>
      </c>
      <c r="P145" s="3">
        <v>3.9</v>
      </c>
      <c r="Q145" s="4">
        <f t="shared" si="17"/>
        <v>3.9</v>
      </c>
      <c r="R145" s="3">
        <v>695098.51</v>
      </c>
      <c r="S145" s="3">
        <v>108192.75</v>
      </c>
      <c r="X145" s="3">
        <v>50198.12</v>
      </c>
      <c r="Y145" s="3">
        <v>6089</v>
      </c>
      <c r="Z145" s="3">
        <v>94</v>
      </c>
      <c r="AA145" s="4">
        <f t="shared" si="18"/>
        <v>0</v>
      </c>
      <c r="AB145" s="4">
        <f t="shared" si="19"/>
        <v>0</v>
      </c>
      <c r="AC145" s="4">
        <f t="shared" si="20"/>
        <v>0</v>
      </c>
    </row>
    <row r="146" spans="1:29">
      <c r="A146" s="3" t="s">
        <v>58</v>
      </c>
      <c r="B146" s="5">
        <v>45658</v>
      </c>
      <c r="C146" s="3" t="s">
        <v>20</v>
      </c>
      <c r="D146" s="4">
        <f t="shared" si="21"/>
        <v>1</v>
      </c>
      <c r="E146" s="4">
        <f t="shared" si="22"/>
        <v>0</v>
      </c>
      <c r="F146" s="4">
        <f t="shared" si="23"/>
        <v>0</v>
      </c>
      <c r="G146" s="3" t="s">
        <v>16</v>
      </c>
      <c r="H146" s="3">
        <v>70488.2</v>
      </c>
      <c r="I146" s="3">
        <v>4312</v>
      </c>
      <c r="J146" s="3">
        <v>0.16900000000000001</v>
      </c>
      <c r="K146" s="3">
        <v>12</v>
      </c>
      <c r="L146" s="3">
        <v>90.2</v>
      </c>
      <c r="M146" s="3">
        <v>3.71</v>
      </c>
      <c r="N146" s="4">
        <f t="shared" si="16"/>
        <v>3.71</v>
      </c>
      <c r="O146" s="3">
        <v>0</v>
      </c>
      <c r="P146" s="3">
        <v>3.2</v>
      </c>
      <c r="Q146" s="4">
        <f t="shared" si="17"/>
        <v>3.2</v>
      </c>
      <c r="R146" s="3">
        <v>577732.56999999995</v>
      </c>
      <c r="S146" s="3">
        <v>93804.27</v>
      </c>
      <c r="X146" s="3">
        <v>70488.2</v>
      </c>
      <c r="Y146" s="3">
        <v>4312</v>
      </c>
      <c r="Z146" s="3">
        <v>90.2</v>
      </c>
      <c r="AA146" s="4">
        <f t="shared" si="18"/>
        <v>0</v>
      </c>
      <c r="AB146" s="4">
        <f t="shared" si="19"/>
        <v>0</v>
      </c>
      <c r="AC146" s="4">
        <f t="shared" si="20"/>
        <v>0</v>
      </c>
    </row>
    <row r="147" spans="1:29">
      <c r="A147" s="3" t="s">
        <v>58</v>
      </c>
      <c r="B147" s="5">
        <v>45689</v>
      </c>
      <c r="C147" s="3" t="s">
        <v>20</v>
      </c>
      <c r="D147" s="4">
        <f t="shared" si="21"/>
        <v>1</v>
      </c>
      <c r="E147" s="4">
        <f t="shared" si="22"/>
        <v>0</v>
      </c>
      <c r="F147" s="4">
        <f t="shared" si="23"/>
        <v>0</v>
      </c>
      <c r="G147" s="3" t="s">
        <v>16</v>
      </c>
      <c r="H147" s="3">
        <v>50909.27</v>
      </c>
      <c r="I147" s="3">
        <v>3152</v>
      </c>
      <c r="J147" s="3">
        <v>0.06</v>
      </c>
      <c r="K147" s="3">
        <v>13</v>
      </c>
      <c r="L147" s="3">
        <v>93.7</v>
      </c>
      <c r="M147" s="3">
        <v>10.79</v>
      </c>
      <c r="N147" s="4">
        <f t="shared" si="16"/>
        <v>10.79</v>
      </c>
      <c r="O147" s="3">
        <v>0</v>
      </c>
      <c r="P147" s="3">
        <v>3.5</v>
      </c>
      <c r="Q147" s="4">
        <f t="shared" si="17"/>
        <v>3.5</v>
      </c>
      <c r="R147" s="3">
        <v>537058.32999999996</v>
      </c>
      <c r="S147" s="3">
        <v>93555.71</v>
      </c>
      <c r="X147" s="3">
        <v>50909.27</v>
      </c>
      <c r="Y147" s="3">
        <v>3152</v>
      </c>
      <c r="Z147" s="3">
        <v>93.7</v>
      </c>
      <c r="AA147" s="4">
        <f t="shared" si="18"/>
        <v>0</v>
      </c>
      <c r="AB147" s="4">
        <f t="shared" si="19"/>
        <v>0</v>
      </c>
      <c r="AC147" s="4">
        <f t="shared" si="20"/>
        <v>0</v>
      </c>
    </row>
    <row r="148" spans="1:29">
      <c r="A148" s="3" t="s">
        <v>58</v>
      </c>
      <c r="B148" s="5">
        <v>45717</v>
      </c>
      <c r="C148" s="3" t="s">
        <v>20</v>
      </c>
      <c r="D148" s="4">
        <f t="shared" si="21"/>
        <v>1</v>
      </c>
      <c r="E148" s="4">
        <f t="shared" si="22"/>
        <v>0</v>
      </c>
      <c r="F148" s="4">
        <f t="shared" si="23"/>
        <v>0</v>
      </c>
      <c r="G148" s="3" t="s">
        <v>16</v>
      </c>
      <c r="H148" s="3">
        <v>53351.7</v>
      </c>
      <c r="I148" s="3">
        <v>4259</v>
      </c>
      <c r="J148" s="3">
        <v>0.156</v>
      </c>
      <c r="K148" s="3">
        <v>15</v>
      </c>
      <c r="L148" s="3">
        <v>93.7</v>
      </c>
      <c r="M148" s="3">
        <v>6.03</v>
      </c>
      <c r="N148" s="4">
        <f t="shared" si="16"/>
        <v>6.03</v>
      </c>
      <c r="O148" s="3">
        <v>0</v>
      </c>
      <c r="P148" s="3">
        <v>3.4</v>
      </c>
      <c r="Q148" s="4">
        <f t="shared" si="17"/>
        <v>3.4</v>
      </c>
      <c r="R148" s="3">
        <v>601568.87</v>
      </c>
      <c r="S148" s="3">
        <v>91634.82</v>
      </c>
      <c r="X148" s="3">
        <v>53351.7</v>
      </c>
      <c r="Y148" s="3">
        <v>4259</v>
      </c>
      <c r="Z148" s="3">
        <v>93.7</v>
      </c>
      <c r="AA148" s="4">
        <f t="shared" si="18"/>
        <v>0</v>
      </c>
      <c r="AB148" s="4">
        <f t="shared" si="19"/>
        <v>0</v>
      </c>
      <c r="AC148" s="4">
        <f t="shared" si="20"/>
        <v>0</v>
      </c>
    </row>
    <row r="149" spans="1:29">
      <c r="A149" s="3" t="s">
        <v>58</v>
      </c>
      <c r="B149" s="5">
        <v>45748</v>
      </c>
      <c r="C149" s="3" t="s">
        <v>20</v>
      </c>
      <c r="D149" s="4">
        <f t="shared" si="21"/>
        <v>1</v>
      </c>
      <c r="E149" s="4">
        <f t="shared" si="22"/>
        <v>0</v>
      </c>
      <c r="F149" s="4">
        <f t="shared" si="23"/>
        <v>0</v>
      </c>
      <c r="G149" s="3" t="s">
        <v>16</v>
      </c>
      <c r="H149" s="3">
        <v>60322.400000000001</v>
      </c>
      <c r="I149" s="3">
        <v>3350</v>
      </c>
      <c r="J149" s="3">
        <v>0.108</v>
      </c>
      <c r="K149" s="3">
        <v>12</v>
      </c>
      <c r="L149" s="3">
        <v>89.4</v>
      </c>
      <c r="M149" s="3">
        <v>4.92</v>
      </c>
      <c r="N149" s="4">
        <f t="shared" si="16"/>
        <v>4.92</v>
      </c>
      <c r="O149" s="3">
        <v>0</v>
      </c>
      <c r="P149" s="3">
        <v>3.4</v>
      </c>
      <c r="Q149" s="4">
        <f t="shared" si="17"/>
        <v>3.4</v>
      </c>
      <c r="R149" s="3">
        <v>570964.84</v>
      </c>
      <c r="S149" s="3">
        <v>81331.070000000007</v>
      </c>
      <c r="X149" s="3">
        <v>60322.400000000001</v>
      </c>
      <c r="Y149" s="3">
        <v>3350</v>
      </c>
      <c r="Z149" s="3">
        <v>89.4</v>
      </c>
      <c r="AA149" s="4">
        <f t="shared" si="18"/>
        <v>0</v>
      </c>
      <c r="AB149" s="4">
        <f t="shared" si="19"/>
        <v>0</v>
      </c>
      <c r="AC149" s="4">
        <f t="shared" si="20"/>
        <v>0</v>
      </c>
    </row>
    <row r="150" spans="1:29">
      <c r="A150" s="3" t="s">
        <v>59</v>
      </c>
      <c r="B150" s="5">
        <v>45658</v>
      </c>
      <c r="C150" s="3" t="s">
        <v>24</v>
      </c>
      <c r="D150" s="4">
        <f t="shared" si="21"/>
        <v>0</v>
      </c>
      <c r="E150" s="4">
        <f t="shared" si="22"/>
        <v>1</v>
      </c>
      <c r="F150" s="4">
        <f t="shared" si="23"/>
        <v>0</v>
      </c>
      <c r="G150" s="3" t="s">
        <v>28</v>
      </c>
      <c r="H150" s="3">
        <v>51575.68</v>
      </c>
      <c r="I150" s="3">
        <v>5329</v>
      </c>
      <c r="J150" s="3">
        <v>4.7E-2</v>
      </c>
      <c r="K150" s="3">
        <v>17</v>
      </c>
      <c r="L150" s="3">
        <v>88.1</v>
      </c>
      <c r="M150" s="3">
        <v>19.78</v>
      </c>
      <c r="N150" s="4">
        <f t="shared" si="16"/>
        <v>19.78</v>
      </c>
      <c r="O150" s="3">
        <v>0</v>
      </c>
      <c r="P150" s="3">
        <v>3.8</v>
      </c>
      <c r="Q150" s="4">
        <f t="shared" si="17"/>
        <v>3.8</v>
      </c>
      <c r="R150" s="3">
        <v>614024.91</v>
      </c>
      <c r="S150" s="3">
        <v>84828.93</v>
      </c>
      <c r="X150" s="3">
        <v>51575.68</v>
      </c>
      <c r="Y150" s="3">
        <v>5329</v>
      </c>
      <c r="Z150" s="3">
        <v>88.1</v>
      </c>
      <c r="AA150" s="4">
        <f t="shared" si="18"/>
        <v>0</v>
      </c>
      <c r="AB150" s="4">
        <f t="shared" si="19"/>
        <v>0</v>
      </c>
      <c r="AC150" s="4">
        <f t="shared" si="20"/>
        <v>0</v>
      </c>
    </row>
    <row r="151" spans="1:29">
      <c r="A151" s="3" t="s">
        <v>59</v>
      </c>
      <c r="B151" s="5">
        <v>45689</v>
      </c>
      <c r="C151" s="3" t="s">
        <v>24</v>
      </c>
      <c r="D151" s="4">
        <f t="shared" si="21"/>
        <v>0</v>
      </c>
      <c r="E151" s="4">
        <f t="shared" si="22"/>
        <v>1</v>
      </c>
      <c r="F151" s="4">
        <f t="shared" si="23"/>
        <v>0</v>
      </c>
      <c r="G151" s="3" t="s">
        <v>28</v>
      </c>
      <c r="H151" s="3">
        <v>43319.94</v>
      </c>
      <c r="I151" s="3">
        <v>6551</v>
      </c>
      <c r="J151" s="3">
        <v>4.3999999999999997E-2</v>
      </c>
      <c r="K151" s="3">
        <v>13</v>
      </c>
      <c r="L151" s="3">
        <v>99</v>
      </c>
      <c r="M151" s="3">
        <v>5.45</v>
      </c>
      <c r="N151" s="4">
        <f t="shared" si="16"/>
        <v>5.45</v>
      </c>
      <c r="O151" s="3">
        <v>0</v>
      </c>
      <c r="P151" s="3">
        <v>4.0999999999999996</v>
      </c>
      <c r="Q151" s="4">
        <f t="shared" si="17"/>
        <v>4.0999999999999996</v>
      </c>
      <c r="R151" s="3">
        <v>712868.35</v>
      </c>
      <c r="S151" s="3">
        <v>133650.51</v>
      </c>
      <c r="X151" s="3">
        <v>43319.94</v>
      </c>
      <c r="Y151" s="3">
        <v>6551</v>
      </c>
      <c r="Z151" s="3">
        <v>99</v>
      </c>
      <c r="AA151" s="4">
        <f t="shared" si="18"/>
        <v>0</v>
      </c>
      <c r="AB151" s="4">
        <f t="shared" si="19"/>
        <v>0</v>
      </c>
      <c r="AC151" s="4">
        <f t="shared" si="20"/>
        <v>0</v>
      </c>
    </row>
    <row r="152" spans="1:29">
      <c r="A152" s="3" t="s">
        <v>59</v>
      </c>
      <c r="B152" s="5">
        <v>45717</v>
      </c>
      <c r="C152" s="3" t="s">
        <v>24</v>
      </c>
      <c r="D152" s="4">
        <f t="shared" si="21"/>
        <v>0</v>
      </c>
      <c r="E152" s="4">
        <f t="shared" si="22"/>
        <v>1</v>
      </c>
      <c r="F152" s="4">
        <f t="shared" si="23"/>
        <v>0</v>
      </c>
      <c r="G152" s="3" t="s">
        <v>28</v>
      </c>
      <c r="H152" s="3">
        <v>47093.55</v>
      </c>
      <c r="I152" s="3">
        <v>5550</v>
      </c>
      <c r="J152" s="3">
        <v>0.1</v>
      </c>
      <c r="K152" s="3">
        <v>12</v>
      </c>
      <c r="L152" s="3">
        <v>95</v>
      </c>
      <c r="M152" s="3">
        <v>2.33</v>
      </c>
      <c r="N152" s="4">
        <f t="shared" si="16"/>
        <v>2.33</v>
      </c>
      <c r="O152" s="3">
        <v>1</v>
      </c>
      <c r="P152" s="3">
        <v>3.7</v>
      </c>
      <c r="Q152" s="4">
        <f t="shared" si="17"/>
        <v>3.7</v>
      </c>
      <c r="R152" s="3">
        <v>696744.15</v>
      </c>
      <c r="S152" s="3">
        <v>152230.09</v>
      </c>
      <c r="X152" s="3">
        <v>47093.55</v>
      </c>
      <c r="Y152" s="3">
        <v>5550</v>
      </c>
      <c r="Z152" s="3">
        <v>95</v>
      </c>
      <c r="AA152" s="4">
        <f t="shared" si="18"/>
        <v>0</v>
      </c>
      <c r="AB152" s="4">
        <f t="shared" si="19"/>
        <v>0</v>
      </c>
      <c r="AC152" s="4">
        <f t="shared" si="20"/>
        <v>0</v>
      </c>
    </row>
    <row r="153" spans="1:29">
      <c r="A153" s="3" t="s">
        <v>59</v>
      </c>
      <c r="B153" s="5">
        <v>45748</v>
      </c>
      <c r="C153" s="3" t="s">
        <v>24</v>
      </c>
      <c r="D153" s="4">
        <f t="shared" si="21"/>
        <v>0</v>
      </c>
      <c r="E153" s="4">
        <f t="shared" si="22"/>
        <v>1</v>
      </c>
      <c r="F153" s="4">
        <f t="shared" si="23"/>
        <v>0</v>
      </c>
      <c r="G153" s="3" t="s">
        <v>28</v>
      </c>
      <c r="H153" s="3">
        <v>71855.09</v>
      </c>
      <c r="I153" s="3">
        <v>5911</v>
      </c>
      <c r="J153" s="3">
        <v>0.19700000000000001</v>
      </c>
      <c r="K153" s="3">
        <v>15</v>
      </c>
      <c r="L153" s="3">
        <v>94.3</v>
      </c>
      <c r="M153" s="3">
        <v>3.55</v>
      </c>
      <c r="N153" s="4">
        <f t="shared" si="16"/>
        <v>3.55</v>
      </c>
      <c r="O153" s="3">
        <v>0</v>
      </c>
      <c r="P153" s="3">
        <v>4.0999999999999996</v>
      </c>
      <c r="Q153" s="4">
        <f t="shared" si="17"/>
        <v>4.0999999999999996</v>
      </c>
      <c r="R153" s="3">
        <v>725847.99</v>
      </c>
      <c r="S153" s="3">
        <v>122698.73</v>
      </c>
      <c r="X153" s="3">
        <v>71855.09</v>
      </c>
      <c r="Y153" s="3">
        <v>5911</v>
      </c>
      <c r="Z153" s="3">
        <v>94.3</v>
      </c>
      <c r="AA153" s="4">
        <f t="shared" si="18"/>
        <v>0</v>
      </c>
      <c r="AB153" s="4">
        <f t="shared" si="19"/>
        <v>0</v>
      </c>
      <c r="AC153" s="4">
        <f t="shared" si="20"/>
        <v>0</v>
      </c>
    </row>
    <row r="154" spans="1:29">
      <c r="A154" s="3" t="s">
        <v>60</v>
      </c>
      <c r="B154" s="5">
        <v>45658</v>
      </c>
      <c r="C154" s="3" t="s">
        <v>15</v>
      </c>
      <c r="D154" s="4">
        <f t="shared" si="21"/>
        <v>0</v>
      </c>
      <c r="E154" s="4">
        <f t="shared" si="22"/>
        <v>0</v>
      </c>
      <c r="F154" s="4">
        <f t="shared" si="23"/>
        <v>0</v>
      </c>
      <c r="G154" s="3" t="s">
        <v>18</v>
      </c>
      <c r="H154" s="3">
        <v>75645.23</v>
      </c>
      <c r="I154" s="3">
        <v>9674</v>
      </c>
      <c r="J154" s="3">
        <v>0.23400000000000001</v>
      </c>
      <c r="K154" s="3">
        <v>21</v>
      </c>
      <c r="L154" s="3">
        <v>87.4</v>
      </c>
      <c r="M154" s="3">
        <v>0.2</v>
      </c>
      <c r="N154" s="4">
        <f t="shared" si="16"/>
        <v>0.2</v>
      </c>
      <c r="O154" s="3">
        <v>0</v>
      </c>
      <c r="P154" s="3">
        <v>4.5</v>
      </c>
      <c r="Q154" s="4">
        <f t="shared" si="17"/>
        <v>4.5</v>
      </c>
      <c r="R154" s="3">
        <v>785028.25</v>
      </c>
      <c r="S154" s="3">
        <v>110726.44</v>
      </c>
      <c r="X154" s="3">
        <v>75645.23</v>
      </c>
      <c r="Y154" s="3">
        <v>9674</v>
      </c>
      <c r="Z154" s="3">
        <v>87.4</v>
      </c>
      <c r="AA154" s="4">
        <f t="shared" si="18"/>
        <v>0</v>
      </c>
      <c r="AB154" s="4">
        <f t="shared" si="19"/>
        <v>0</v>
      </c>
      <c r="AC154" s="4">
        <f t="shared" si="20"/>
        <v>0</v>
      </c>
    </row>
    <row r="155" spans="1:29">
      <c r="A155" s="3" t="s">
        <v>60</v>
      </c>
      <c r="B155" s="5">
        <v>45689</v>
      </c>
      <c r="C155" s="3" t="s">
        <v>15</v>
      </c>
      <c r="D155" s="4">
        <f t="shared" si="21"/>
        <v>0</v>
      </c>
      <c r="E155" s="4">
        <f t="shared" si="22"/>
        <v>0</v>
      </c>
      <c r="F155" s="4">
        <f t="shared" si="23"/>
        <v>0</v>
      </c>
      <c r="G155" s="3" t="s">
        <v>18</v>
      </c>
      <c r="H155" s="3">
        <v>64374.75</v>
      </c>
      <c r="I155" s="3">
        <v>6740</v>
      </c>
      <c r="J155" s="3">
        <v>0.16900000000000001</v>
      </c>
      <c r="K155" s="3">
        <v>18</v>
      </c>
      <c r="L155" s="3">
        <v>87</v>
      </c>
      <c r="M155" s="3">
        <v>2.09</v>
      </c>
      <c r="N155" s="4">
        <f t="shared" si="16"/>
        <v>2.09</v>
      </c>
      <c r="O155" s="3">
        <v>0</v>
      </c>
      <c r="P155" s="3">
        <v>4.2</v>
      </c>
      <c r="Q155" s="4">
        <f t="shared" si="17"/>
        <v>4.2</v>
      </c>
      <c r="R155" s="3">
        <v>698492.67</v>
      </c>
      <c r="S155" s="3">
        <v>117319.32</v>
      </c>
      <c r="X155" s="3">
        <v>64374.75</v>
      </c>
      <c r="Y155" s="3">
        <v>6740</v>
      </c>
      <c r="Z155" s="3">
        <v>87</v>
      </c>
      <c r="AA155" s="4">
        <f t="shared" si="18"/>
        <v>0</v>
      </c>
      <c r="AB155" s="4">
        <f t="shared" si="19"/>
        <v>0</v>
      </c>
      <c r="AC155" s="4">
        <f t="shared" si="20"/>
        <v>0</v>
      </c>
    </row>
    <row r="156" spans="1:29">
      <c r="A156" s="3" t="s">
        <v>60</v>
      </c>
      <c r="B156" s="5">
        <v>45717</v>
      </c>
      <c r="C156" s="3" t="s">
        <v>15</v>
      </c>
      <c r="D156" s="4">
        <f t="shared" si="21"/>
        <v>0</v>
      </c>
      <c r="E156" s="4">
        <f t="shared" si="22"/>
        <v>0</v>
      </c>
      <c r="F156" s="4">
        <f t="shared" si="23"/>
        <v>0</v>
      </c>
      <c r="G156" s="3" t="s">
        <v>18</v>
      </c>
      <c r="H156" s="3">
        <v>61433.84</v>
      </c>
      <c r="I156" s="3">
        <v>7745</v>
      </c>
      <c r="J156" s="3">
        <v>0.18</v>
      </c>
      <c r="K156" s="3">
        <v>16</v>
      </c>
      <c r="L156" s="3">
        <v>90.5</v>
      </c>
      <c r="M156" s="3">
        <v>2.2599999999999998</v>
      </c>
      <c r="N156" s="4">
        <f t="shared" si="16"/>
        <v>2.2599999999999998</v>
      </c>
      <c r="O156" s="3">
        <v>0</v>
      </c>
      <c r="P156" s="3">
        <v>4.2</v>
      </c>
      <c r="Q156" s="4">
        <f t="shared" si="17"/>
        <v>4.2</v>
      </c>
      <c r="R156" s="3">
        <v>685830.24</v>
      </c>
      <c r="S156" s="3">
        <v>128736.18</v>
      </c>
      <c r="X156" s="3">
        <v>61433.84</v>
      </c>
      <c r="Y156" s="3">
        <v>7745</v>
      </c>
      <c r="Z156" s="3">
        <v>90.5</v>
      </c>
      <c r="AA156" s="4">
        <f t="shared" si="18"/>
        <v>0</v>
      </c>
      <c r="AB156" s="4">
        <f t="shared" si="19"/>
        <v>0</v>
      </c>
      <c r="AC156" s="4">
        <f t="shared" si="20"/>
        <v>0</v>
      </c>
    </row>
    <row r="157" spans="1:29">
      <c r="A157" s="3" t="s">
        <v>60</v>
      </c>
      <c r="B157" s="5">
        <v>45748</v>
      </c>
      <c r="C157" s="3" t="s">
        <v>15</v>
      </c>
      <c r="D157" s="4">
        <f t="shared" si="21"/>
        <v>0</v>
      </c>
      <c r="E157" s="4">
        <f t="shared" si="22"/>
        <v>0</v>
      </c>
      <c r="F157" s="4">
        <f t="shared" si="23"/>
        <v>0</v>
      </c>
      <c r="G157" s="3" t="s">
        <v>18</v>
      </c>
      <c r="H157" s="3">
        <v>42698.14</v>
      </c>
      <c r="I157" s="3">
        <v>7693</v>
      </c>
      <c r="J157" s="3">
        <v>0.187</v>
      </c>
      <c r="K157" s="3">
        <v>19</v>
      </c>
      <c r="L157" s="3">
        <v>90.1</v>
      </c>
      <c r="M157" s="3">
        <v>0.44</v>
      </c>
      <c r="N157" s="4">
        <f t="shared" si="16"/>
        <v>0.44</v>
      </c>
      <c r="O157" s="3">
        <v>0</v>
      </c>
      <c r="P157" s="3">
        <v>4.4000000000000004</v>
      </c>
      <c r="Q157" s="4">
        <f t="shared" si="17"/>
        <v>4.4000000000000004</v>
      </c>
      <c r="R157" s="3">
        <v>702318.94</v>
      </c>
      <c r="S157" s="3">
        <v>112829.29</v>
      </c>
      <c r="X157" s="3">
        <v>42698.14</v>
      </c>
      <c r="Y157" s="3">
        <v>7693</v>
      </c>
      <c r="Z157" s="3">
        <v>90.1</v>
      </c>
      <c r="AA157" s="4">
        <f t="shared" si="18"/>
        <v>0</v>
      </c>
      <c r="AB157" s="4">
        <f t="shared" si="19"/>
        <v>0</v>
      </c>
      <c r="AC157" s="4">
        <f t="shared" si="20"/>
        <v>0</v>
      </c>
    </row>
    <row r="158" spans="1:29">
      <c r="A158" s="3" t="s">
        <v>61</v>
      </c>
      <c r="B158" s="5">
        <v>45658</v>
      </c>
      <c r="C158" s="3" t="s">
        <v>20</v>
      </c>
      <c r="D158" s="4">
        <f t="shared" si="21"/>
        <v>1</v>
      </c>
      <c r="E158" s="4">
        <f t="shared" si="22"/>
        <v>0</v>
      </c>
      <c r="F158" s="4">
        <f t="shared" si="23"/>
        <v>0</v>
      </c>
      <c r="G158" s="3" t="s">
        <v>28</v>
      </c>
      <c r="H158" s="3">
        <v>86883.31</v>
      </c>
      <c r="I158" s="3">
        <v>6424</v>
      </c>
      <c r="J158" s="3">
        <v>5.7000000000000002E-2</v>
      </c>
      <c r="K158" s="3">
        <v>19</v>
      </c>
      <c r="L158" s="3">
        <v>85.2</v>
      </c>
      <c r="M158" s="3">
        <v>3.08</v>
      </c>
      <c r="N158" s="4">
        <f t="shared" si="16"/>
        <v>3.08</v>
      </c>
      <c r="O158" s="3">
        <v>0</v>
      </c>
      <c r="P158" s="3">
        <v>3.9</v>
      </c>
      <c r="Q158" s="4">
        <f t="shared" si="17"/>
        <v>3.9</v>
      </c>
      <c r="R158" s="3">
        <v>700078.32</v>
      </c>
      <c r="S158" s="3">
        <v>123707.58</v>
      </c>
      <c r="X158" s="3">
        <v>86883.31</v>
      </c>
      <c r="Y158" s="3">
        <v>6424</v>
      </c>
      <c r="Z158" s="3">
        <v>85.2</v>
      </c>
      <c r="AA158" s="4">
        <f t="shared" si="18"/>
        <v>0</v>
      </c>
      <c r="AB158" s="4">
        <f t="shared" si="19"/>
        <v>0</v>
      </c>
      <c r="AC158" s="4">
        <f t="shared" si="20"/>
        <v>0</v>
      </c>
    </row>
    <row r="159" spans="1:29">
      <c r="A159" s="3" t="s">
        <v>61</v>
      </c>
      <c r="B159" s="5">
        <v>45689</v>
      </c>
      <c r="C159" s="3" t="s">
        <v>20</v>
      </c>
      <c r="D159" s="4">
        <f t="shared" si="21"/>
        <v>1</v>
      </c>
      <c r="E159" s="4">
        <f t="shared" si="22"/>
        <v>0</v>
      </c>
      <c r="F159" s="4">
        <f t="shared" si="23"/>
        <v>0</v>
      </c>
      <c r="G159" s="3" t="s">
        <v>28</v>
      </c>
      <c r="H159" s="3">
        <v>41863.08</v>
      </c>
      <c r="I159" s="3">
        <v>5400</v>
      </c>
      <c r="J159" s="3">
        <v>0.114</v>
      </c>
      <c r="K159" s="3">
        <v>11</v>
      </c>
      <c r="L159" s="3">
        <v>91.6</v>
      </c>
      <c r="M159" s="3">
        <v>7.99</v>
      </c>
      <c r="N159" s="4">
        <f t="shared" si="16"/>
        <v>7.99</v>
      </c>
      <c r="O159" s="3">
        <v>0</v>
      </c>
      <c r="P159" s="3">
        <v>3</v>
      </c>
      <c r="Q159" s="4">
        <f t="shared" si="17"/>
        <v>3</v>
      </c>
      <c r="R159" s="3">
        <v>602002.31999999995</v>
      </c>
      <c r="S159" s="3">
        <v>110453.28</v>
      </c>
      <c r="X159" s="3">
        <v>41863.08</v>
      </c>
      <c r="Y159" s="3">
        <v>5400</v>
      </c>
      <c r="Z159" s="3">
        <v>91.6</v>
      </c>
      <c r="AA159" s="4">
        <f t="shared" si="18"/>
        <v>0</v>
      </c>
      <c r="AB159" s="4">
        <f t="shared" si="19"/>
        <v>0</v>
      </c>
      <c r="AC159" s="4">
        <f t="shared" si="20"/>
        <v>0</v>
      </c>
    </row>
    <row r="160" spans="1:29">
      <c r="A160" s="3" t="s">
        <v>61</v>
      </c>
      <c r="B160" s="5">
        <v>45717</v>
      </c>
      <c r="C160" s="3" t="s">
        <v>20</v>
      </c>
      <c r="D160" s="4">
        <f t="shared" si="21"/>
        <v>1</v>
      </c>
      <c r="E160" s="4">
        <f t="shared" si="22"/>
        <v>0</v>
      </c>
      <c r="F160" s="4">
        <f t="shared" si="23"/>
        <v>0</v>
      </c>
      <c r="G160" s="3" t="s">
        <v>28</v>
      </c>
      <c r="H160" s="3">
        <v>56918.16</v>
      </c>
      <c r="I160" s="3">
        <v>7015</v>
      </c>
      <c r="J160" s="3">
        <v>0.158</v>
      </c>
      <c r="K160" s="3">
        <v>18</v>
      </c>
      <c r="L160" s="3">
        <v>74.2</v>
      </c>
      <c r="M160" s="3">
        <v>0.2</v>
      </c>
      <c r="N160" s="4">
        <f t="shared" si="16"/>
        <v>0.2</v>
      </c>
      <c r="O160" s="3">
        <v>0</v>
      </c>
      <c r="P160" s="3">
        <v>3.4</v>
      </c>
      <c r="Q160" s="4">
        <f t="shared" si="17"/>
        <v>3.4</v>
      </c>
      <c r="R160" s="3">
        <v>724216.07</v>
      </c>
      <c r="S160" s="3">
        <v>100627.56</v>
      </c>
      <c r="X160" s="3">
        <v>56918.16</v>
      </c>
      <c r="Y160" s="3">
        <v>7015</v>
      </c>
      <c r="Z160" s="3">
        <v>74.2</v>
      </c>
      <c r="AA160" s="4">
        <f t="shared" si="18"/>
        <v>0</v>
      </c>
      <c r="AB160" s="4">
        <f t="shared" si="19"/>
        <v>0</v>
      </c>
      <c r="AC160" s="4">
        <f t="shared" si="20"/>
        <v>0</v>
      </c>
    </row>
    <row r="161" spans="1:29">
      <c r="A161" s="3" t="s">
        <v>61</v>
      </c>
      <c r="B161" s="5">
        <v>45748</v>
      </c>
      <c r="C161" s="3" t="s">
        <v>20</v>
      </c>
      <c r="D161" s="4">
        <f t="shared" si="21"/>
        <v>1</v>
      </c>
      <c r="E161" s="4">
        <f t="shared" si="22"/>
        <v>0</v>
      </c>
      <c r="F161" s="4">
        <f t="shared" si="23"/>
        <v>0</v>
      </c>
      <c r="G161" s="3" t="s">
        <v>28</v>
      </c>
      <c r="H161" s="3">
        <v>23254.57</v>
      </c>
      <c r="I161" s="3">
        <v>3847</v>
      </c>
      <c r="J161" s="3">
        <v>0.159</v>
      </c>
      <c r="K161" s="3">
        <v>12</v>
      </c>
      <c r="L161" s="3">
        <v>93</v>
      </c>
      <c r="M161" s="3">
        <v>5.46</v>
      </c>
      <c r="N161" s="4">
        <f t="shared" si="16"/>
        <v>5.46</v>
      </c>
      <c r="O161" s="3">
        <v>0</v>
      </c>
      <c r="P161" s="3">
        <v>3.3</v>
      </c>
      <c r="Q161" s="4">
        <f t="shared" si="17"/>
        <v>3.3</v>
      </c>
      <c r="R161" s="3">
        <v>620973.03</v>
      </c>
      <c r="S161" s="3">
        <v>72303.850000000006</v>
      </c>
      <c r="X161" s="3">
        <v>23254.57</v>
      </c>
      <c r="Y161" s="3">
        <v>3847</v>
      </c>
      <c r="Z161" s="3">
        <v>93</v>
      </c>
      <c r="AA161" s="4">
        <f t="shared" si="18"/>
        <v>0</v>
      </c>
      <c r="AB161" s="4">
        <f t="shared" si="19"/>
        <v>0</v>
      </c>
      <c r="AC161" s="4">
        <f t="shared" si="20"/>
        <v>0</v>
      </c>
    </row>
    <row r="162" spans="1:29">
      <c r="A162" s="3" t="s">
        <v>62</v>
      </c>
      <c r="B162" s="5">
        <v>45658</v>
      </c>
      <c r="C162" s="3" t="s">
        <v>24</v>
      </c>
      <c r="D162" s="4">
        <f t="shared" si="21"/>
        <v>0</v>
      </c>
      <c r="E162" s="4">
        <f t="shared" si="22"/>
        <v>1</v>
      </c>
      <c r="F162" s="4">
        <f t="shared" si="23"/>
        <v>0</v>
      </c>
      <c r="G162" s="3" t="s">
        <v>18</v>
      </c>
      <c r="H162" s="3">
        <v>41443.410000000003</v>
      </c>
      <c r="I162" s="3">
        <v>7455</v>
      </c>
      <c r="J162" s="3">
        <v>0.17499999999999999</v>
      </c>
      <c r="K162" s="3">
        <v>16</v>
      </c>
      <c r="L162" s="3">
        <v>90.1</v>
      </c>
      <c r="M162" s="3">
        <v>4.05</v>
      </c>
      <c r="N162" s="4">
        <f t="shared" si="16"/>
        <v>4.05</v>
      </c>
      <c r="O162" s="3">
        <v>0</v>
      </c>
      <c r="P162" s="3">
        <v>4</v>
      </c>
      <c r="Q162" s="4">
        <f t="shared" si="17"/>
        <v>4</v>
      </c>
      <c r="R162" s="3">
        <v>650480.06000000006</v>
      </c>
      <c r="S162" s="3">
        <v>109012.07</v>
      </c>
      <c r="X162" s="3">
        <v>41443.410000000003</v>
      </c>
      <c r="Y162" s="3">
        <v>7455</v>
      </c>
      <c r="Z162" s="3">
        <v>90.1</v>
      </c>
      <c r="AA162" s="4">
        <f t="shared" si="18"/>
        <v>0</v>
      </c>
      <c r="AB162" s="4">
        <f t="shared" si="19"/>
        <v>0</v>
      </c>
      <c r="AC162" s="4">
        <f t="shared" si="20"/>
        <v>0</v>
      </c>
    </row>
    <row r="163" spans="1:29">
      <c r="A163" s="3" t="s">
        <v>62</v>
      </c>
      <c r="B163" s="5">
        <v>45689</v>
      </c>
      <c r="C163" s="3" t="s">
        <v>24</v>
      </c>
      <c r="D163" s="4">
        <f t="shared" si="21"/>
        <v>0</v>
      </c>
      <c r="E163" s="4">
        <f t="shared" si="22"/>
        <v>1</v>
      </c>
      <c r="F163" s="4">
        <f t="shared" si="23"/>
        <v>0</v>
      </c>
      <c r="G163" s="3" t="s">
        <v>18</v>
      </c>
      <c r="H163" s="3">
        <v>48438.85</v>
      </c>
      <c r="I163" s="3">
        <v>6992</v>
      </c>
      <c r="J163" s="3">
        <v>3.4000000000000002E-2</v>
      </c>
      <c r="K163" s="3">
        <v>20</v>
      </c>
      <c r="L163" s="3">
        <v>91</v>
      </c>
      <c r="M163" s="3">
        <v>4.3600000000000003</v>
      </c>
      <c r="N163" s="4">
        <f t="shared" si="16"/>
        <v>4.3600000000000003</v>
      </c>
      <c r="O163" s="3">
        <v>0</v>
      </c>
      <c r="P163" s="3">
        <v>4.2</v>
      </c>
      <c r="Q163" s="4">
        <f t="shared" si="17"/>
        <v>4.2</v>
      </c>
      <c r="R163" s="3">
        <v>778298.88</v>
      </c>
      <c r="S163" s="3">
        <v>130076.72</v>
      </c>
      <c r="X163" s="3">
        <v>48438.85</v>
      </c>
      <c r="Y163" s="3">
        <v>6992</v>
      </c>
      <c r="Z163" s="3">
        <v>91</v>
      </c>
      <c r="AA163" s="4">
        <f t="shared" si="18"/>
        <v>0</v>
      </c>
      <c r="AB163" s="4">
        <f t="shared" si="19"/>
        <v>0</v>
      </c>
      <c r="AC163" s="4">
        <f t="shared" si="20"/>
        <v>0</v>
      </c>
    </row>
    <row r="164" spans="1:29">
      <c r="A164" s="3" t="s">
        <v>62</v>
      </c>
      <c r="B164" s="5">
        <v>45717</v>
      </c>
      <c r="C164" s="3" t="s">
        <v>24</v>
      </c>
      <c r="D164" s="4">
        <f t="shared" si="21"/>
        <v>0</v>
      </c>
      <c r="E164" s="4">
        <f t="shared" si="22"/>
        <v>1</v>
      </c>
      <c r="F164" s="4">
        <f t="shared" si="23"/>
        <v>0</v>
      </c>
      <c r="G164" s="3" t="s">
        <v>18</v>
      </c>
      <c r="H164" s="3">
        <v>57143.3</v>
      </c>
      <c r="I164" s="3">
        <v>8038</v>
      </c>
      <c r="J164" s="3">
        <v>0.193</v>
      </c>
      <c r="K164" s="3">
        <v>17</v>
      </c>
      <c r="L164" s="3">
        <v>72.599999999999994</v>
      </c>
      <c r="M164" s="3"/>
      <c r="N164" s="4">
        <f t="shared" si="16"/>
        <v>3.3650000000000002</v>
      </c>
      <c r="O164" s="3">
        <v>0</v>
      </c>
      <c r="P164" s="3">
        <v>4.2</v>
      </c>
      <c r="Q164" s="4">
        <f t="shared" si="17"/>
        <v>4.2</v>
      </c>
      <c r="R164" s="3">
        <v>677096.71</v>
      </c>
      <c r="S164" s="3">
        <v>97174.11</v>
      </c>
      <c r="X164" s="3">
        <v>57143.3</v>
      </c>
      <c r="Y164" s="3">
        <v>8038</v>
      </c>
      <c r="Z164" s="3">
        <v>72.599999999999994</v>
      </c>
      <c r="AA164" s="4">
        <f t="shared" si="18"/>
        <v>0</v>
      </c>
      <c r="AB164" s="4">
        <f t="shared" si="19"/>
        <v>0</v>
      </c>
      <c r="AC164" s="4">
        <f t="shared" si="20"/>
        <v>0</v>
      </c>
    </row>
    <row r="165" spans="1:29">
      <c r="A165" s="3" t="s">
        <v>62</v>
      </c>
      <c r="B165" s="5">
        <v>45748</v>
      </c>
      <c r="C165" s="3" t="s">
        <v>24</v>
      </c>
      <c r="D165" s="4">
        <f t="shared" si="21"/>
        <v>0</v>
      </c>
      <c r="E165" s="4">
        <f t="shared" si="22"/>
        <v>1</v>
      </c>
      <c r="F165" s="4">
        <f t="shared" si="23"/>
        <v>0</v>
      </c>
      <c r="G165" s="3" t="s">
        <v>18</v>
      </c>
      <c r="H165" s="3">
        <v>66870.62</v>
      </c>
      <c r="I165" s="3">
        <v>6055</v>
      </c>
      <c r="J165" s="3">
        <v>7.4999999999999997E-2</v>
      </c>
      <c r="K165" s="3">
        <v>19</v>
      </c>
      <c r="L165" s="3">
        <v>93.8</v>
      </c>
      <c r="M165" s="3">
        <v>0.54</v>
      </c>
      <c r="N165" s="4">
        <f t="shared" si="16"/>
        <v>0.54</v>
      </c>
      <c r="O165" s="3">
        <v>0</v>
      </c>
      <c r="P165" s="3">
        <v>4.3</v>
      </c>
      <c r="Q165" s="4">
        <f t="shared" si="17"/>
        <v>4.3</v>
      </c>
      <c r="R165" s="3">
        <v>692008.64</v>
      </c>
      <c r="S165" s="3">
        <v>116337.87</v>
      </c>
      <c r="X165" s="3">
        <v>66870.62</v>
      </c>
      <c r="Y165" s="3">
        <v>6055</v>
      </c>
      <c r="Z165" s="3">
        <v>93.8</v>
      </c>
      <c r="AA165" s="4">
        <f t="shared" si="18"/>
        <v>0</v>
      </c>
      <c r="AB165" s="4">
        <f t="shared" si="19"/>
        <v>0</v>
      </c>
      <c r="AC165" s="4">
        <f t="shared" si="20"/>
        <v>0</v>
      </c>
    </row>
    <row r="166" spans="1:29">
      <c r="A166" s="3" t="s">
        <v>63</v>
      </c>
      <c r="B166" s="5">
        <v>45658</v>
      </c>
      <c r="C166" s="3" t="s">
        <v>20</v>
      </c>
      <c r="D166" s="4">
        <f t="shared" si="21"/>
        <v>1</v>
      </c>
      <c r="E166" s="4">
        <f t="shared" si="22"/>
        <v>0</v>
      </c>
      <c r="F166" s="4">
        <f t="shared" si="23"/>
        <v>0</v>
      </c>
      <c r="G166" s="3" t="s">
        <v>28</v>
      </c>
      <c r="H166" s="3">
        <v>72150.53</v>
      </c>
      <c r="I166" s="3">
        <v>9323</v>
      </c>
      <c r="J166" s="3">
        <v>0.157</v>
      </c>
      <c r="K166" s="3">
        <v>22</v>
      </c>
      <c r="L166" s="3">
        <v>82.9</v>
      </c>
      <c r="M166" s="3">
        <v>11.37</v>
      </c>
      <c r="N166" s="4">
        <f t="shared" si="16"/>
        <v>11.37</v>
      </c>
      <c r="O166" s="3">
        <v>1</v>
      </c>
      <c r="P166" s="3">
        <v>4.3</v>
      </c>
      <c r="Q166" s="4">
        <f t="shared" si="17"/>
        <v>4.3</v>
      </c>
      <c r="R166" s="3">
        <v>825797.91</v>
      </c>
      <c r="S166" s="3">
        <v>130945.24</v>
      </c>
      <c r="X166" s="3">
        <v>72150.53</v>
      </c>
      <c r="Y166" s="3">
        <v>9323</v>
      </c>
      <c r="Z166" s="3">
        <v>82.9</v>
      </c>
      <c r="AA166" s="4">
        <f t="shared" si="18"/>
        <v>0</v>
      </c>
      <c r="AB166" s="4">
        <f t="shared" si="19"/>
        <v>0</v>
      </c>
      <c r="AC166" s="4">
        <f t="shared" si="20"/>
        <v>0</v>
      </c>
    </row>
    <row r="167" spans="1:29">
      <c r="A167" s="3" t="s">
        <v>63</v>
      </c>
      <c r="B167" s="5">
        <v>45689</v>
      </c>
      <c r="C167" s="3" t="s">
        <v>20</v>
      </c>
      <c r="D167" s="4">
        <f t="shared" si="21"/>
        <v>1</v>
      </c>
      <c r="E167" s="4">
        <f t="shared" si="22"/>
        <v>0</v>
      </c>
      <c r="F167" s="4">
        <f t="shared" si="23"/>
        <v>0</v>
      </c>
      <c r="G167" s="3" t="s">
        <v>28</v>
      </c>
      <c r="H167" s="3">
        <v>35303.300000000003</v>
      </c>
      <c r="I167" s="3">
        <v>8789</v>
      </c>
      <c r="J167" s="3">
        <v>0.123</v>
      </c>
      <c r="K167" s="3">
        <v>22</v>
      </c>
      <c r="L167" s="3">
        <v>86.1</v>
      </c>
      <c r="M167" s="3">
        <v>9.43</v>
      </c>
      <c r="N167" s="4">
        <f t="shared" si="16"/>
        <v>9.43</v>
      </c>
      <c r="O167" s="3">
        <v>0</v>
      </c>
      <c r="P167" s="3">
        <v>4.2</v>
      </c>
      <c r="Q167" s="4">
        <f t="shared" si="17"/>
        <v>4.2</v>
      </c>
      <c r="R167" s="3">
        <v>706285.52</v>
      </c>
      <c r="S167" s="3">
        <v>138014.72</v>
      </c>
      <c r="X167" s="3">
        <v>35303.300000000003</v>
      </c>
      <c r="Y167" s="3">
        <v>8789</v>
      </c>
      <c r="Z167" s="3">
        <v>86.1</v>
      </c>
      <c r="AA167" s="4">
        <f t="shared" si="18"/>
        <v>0</v>
      </c>
      <c r="AB167" s="4">
        <f t="shared" si="19"/>
        <v>0</v>
      </c>
      <c r="AC167" s="4">
        <f t="shared" si="20"/>
        <v>0</v>
      </c>
    </row>
    <row r="168" spans="1:29">
      <c r="A168" s="3" t="s">
        <v>63</v>
      </c>
      <c r="B168" s="5">
        <v>45717</v>
      </c>
      <c r="C168" s="3" t="s">
        <v>20</v>
      </c>
      <c r="D168" s="4">
        <f t="shared" si="21"/>
        <v>1</v>
      </c>
      <c r="E168" s="4">
        <f t="shared" si="22"/>
        <v>0</v>
      </c>
      <c r="F168" s="4">
        <f t="shared" si="23"/>
        <v>0</v>
      </c>
      <c r="G168" s="3" t="s">
        <v>28</v>
      </c>
      <c r="H168" s="3">
        <v>30301.86</v>
      </c>
      <c r="I168" s="3">
        <v>6939</v>
      </c>
      <c r="J168" s="3">
        <v>0.09</v>
      </c>
      <c r="K168" s="3">
        <v>16</v>
      </c>
      <c r="L168" s="3">
        <v>90.3</v>
      </c>
      <c r="M168" s="3">
        <v>3.49</v>
      </c>
      <c r="N168" s="4">
        <f t="shared" si="16"/>
        <v>3.49</v>
      </c>
      <c r="O168" s="3">
        <v>0</v>
      </c>
      <c r="P168" s="3">
        <v>4</v>
      </c>
      <c r="Q168" s="4">
        <f t="shared" si="17"/>
        <v>4</v>
      </c>
      <c r="R168" s="3">
        <v>665534.69999999995</v>
      </c>
      <c r="S168" s="3">
        <v>113167.73</v>
      </c>
      <c r="X168" s="3">
        <v>30301.86</v>
      </c>
      <c r="Y168" s="3">
        <v>6939</v>
      </c>
      <c r="Z168" s="3">
        <v>90.3</v>
      </c>
      <c r="AA168" s="4">
        <f t="shared" si="18"/>
        <v>0</v>
      </c>
      <c r="AB168" s="4">
        <f t="shared" si="19"/>
        <v>0</v>
      </c>
      <c r="AC168" s="4">
        <f t="shared" si="20"/>
        <v>0</v>
      </c>
    </row>
    <row r="169" spans="1:29">
      <c r="A169" s="3" t="s">
        <v>63</v>
      </c>
      <c r="B169" s="5">
        <v>45748</v>
      </c>
      <c r="C169" s="3" t="s">
        <v>20</v>
      </c>
      <c r="D169" s="4">
        <f t="shared" si="21"/>
        <v>1</v>
      </c>
      <c r="E169" s="4">
        <f t="shared" si="22"/>
        <v>0</v>
      </c>
      <c r="F169" s="4">
        <f t="shared" si="23"/>
        <v>0</v>
      </c>
      <c r="G169" s="3" t="s">
        <v>28</v>
      </c>
      <c r="H169" s="3">
        <v>78432.14</v>
      </c>
      <c r="I169" s="3">
        <v>9440</v>
      </c>
      <c r="J169" s="3">
        <v>0.126</v>
      </c>
      <c r="K169" s="3">
        <v>23</v>
      </c>
      <c r="L169" s="3">
        <v>89.2</v>
      </c>
      <c r="M169" s="3">
        <v>7.86</v>
      </c>
      <c r="N169" s="4">
        <f t="shared" si="16"/>
        <v>7.86</v>
      </c>
      <c r="O169" s="3">
        <v>0</v>
      </c>
      <c r="P169" s="3">
        <v>4.0999999999999996</v>
      </c>
      <c r="Q169" s="4">
        <f t="shared" si="17"/>
        <v>4.0999999999999996</v>
      </c>
      <c r="R169" s="3">
        <v>820729.29</v>
      </c>
      <c r="S169" s="3">
        <v>159325.47</v>
      </c>
      <c r="X169" s="3">
        <v>78432.14</v>
      </c>
      <c r="Y169" s="3">
        <v>9440</v>
      </c>
      <c r="Z169" s="3">
        <v>89.2</v>
      </c>
      <c r="AA169" s="4">
        <f t="shared" si="18"/>
        <v>0</v>
      </c>
      <c r="AB169" s="4">
        <f t="shared" si="19"/>
        <v>0</v>
      </c>
      <c r="AC169" s="4">
        <f t="shared" si="20"/>
        <v>0</v>
      </c>
    </row>
    <row r="170" spans="1:29">
      <c r="A170" s="3" t="s">
        <v>64</v>
      </c>
      <c r="B170" s="5">
        <v>45658</v>
      </c>
      <c r="C170" s="3" t="s">
        <v>15</v>
      </c>
      <c r="D170" s="4">
        <f t="shared" si="21"/>
        <v>0</v>
      </c>
      <c r="E170" s="4">
        <f t="shared" si="22"/>
        <v>0</v>
      </c>
      <c r="F170" s="4">
        <f t="shared" si="23"/>
        <v>0</v>
      </c>
      <c r="G170" s="3" t="s">
        <v>16</v>
      </c>
      <c r="H170" s="3">
        <v>62059.18</v>
      </c>
      <c r="I170" s="3">
        <v>9374</v>
      </c>
      <c r="J170" s="3">
        <v>0.13600000000000001</v>
      </c>
      <c r="K170" s="3">
        <v>25</v>
      </c>
      <c r="L170" s="3">
        <v>87.1</v>
      </c>
      <c r="M170" s="3">
        <v>12.55</v>
      </c>
      <c r="N170" s="4">
        <f t="shared" si="16"/>
        <v>12.55</v>
      </c>
      <c r="O170" s="3">
        <v>0</v>
      </c>
      <c r="P170" s="3">
        <v>4.9000000000000004</v>
      </c>
      <c r="Q170" s="4">
        <f t="shared" si="17"/>
        <v>4.9000000000000004</v>
      </c>
      <c r="R170" s="3">
        <v>739831.73</v>
      </c>
      <c r="S170" s="3">
        <v>119490.21</v>
      </c>
      <c r="X170" s="3">
        <v>62059.18</v>
      </c>
      <c r="Y170" s="3">
        <v>9374</v>
      </c>
      <c r="Z170" s="3">
        <v>87.1</v>
      </c>
      <c r="AA170" s="4">
        <f t="shared" si="18"/>
        <v>0</v>
      </c>
      <c r="AB170" s="4">
        <f t="shared" si="19"/>
        <v>0</v>
      </c>
      <c r="AC170" s="4">
        <f t="shared" si="20"/>
        <v>0</v>
      </c>
    </row>
    <row r="171" spans="1:29">
      <c r="A171" s="3" t="s">
        <v>64</v>
      </c>
      <c r="B171" s="5">
        <v>45689</v>
      </c>
      <c r="C171" s="3" t="s">
        <v>15</v>
      </c>
      <c r="D171" s="4">
        <f t="shared" si="21"/>
        <v>0</v>
      </c>
      <c r="E171" s="4">
        <f t="shared" si="22"/>
        <v>0</v>
      </c>
      <c r="F171" s="4">
        <f t="shared" si="23"/>
        <v>0</v>
      </c>
      <c r="G171" s="3" t="s">
        <v>16</v>
      </c>
      <c r="H171" s="3">
        <v>32834.480000000003</v>
      </c>
      <c r="I171" s="3">
        <v>7576</v>
      </c>
      <c r="J171" s="3">
        <v>9.9000000000000005E-2</v>
      </c>
      <c r="K171" s="3">
        <v>15</v>
      </c>
      <c r="L171" s="3">
        <v>84.1</v>
      </c>
      <c r="M171" s="3">
        <v>3.48</v>
      </c>
      <c r="N171" s="4">
        <f t="shared" ref="N171:N234" si="24">IF(M171="",MEDIAN($M$2:$M$321),M171)</f>
        <v>3.48</v>
      </c>
      <c r="O171" s="3">
        <v>0</v>
      </c>
      <c r="P171" s="3">
        <v>5</v>
      </c>
      <c r="Q171" s="4">
        <f t="shared" si="17"/>
        <v>5</v>
      </c>
      <c r="R171" s="3">
        <v>593637.14</v>
      </c>
      <c r="S171" s="3">
        <v>106648.14</v>
      </c>
      <c r="X171" s="3">
        <v>32834.480000000003</v>
      </c>
      <c r="Y171" s="3">
        <v>7576</v>
      </c>
      <c r="Z171" s="3">
        <v>84.1</v>
      </c>
      <c r="AA171" s="4">
        <f t="shared" si="18"/>
        <v>0</v>
      </c>
      <c r="AB171" s="4">
        <f t="shared" si="19"/>
        <v>0</v>
      </c>
      <c r="AC171" s="4">
        <f t="shared" si="20"/>
        <v>0</v>
      </c>
    </row>
    <row r="172" spans="1:29">
      <c r="A172" s="3" t="s">
        <v>64</v>
      </c>
      <c r="B172" s="5">
        <v>45717</v>
      </c>
      <c r="C172" s="3" t="s">
        <v>15</v>
      </c>
      <c r="D172" s="4">
        <f t="shared" si="21"/>
        <v>0</v>
      </c>
      <c r="E172" s="4">
        <f t="shared" si="22"/>
        <v>0</v>
      </c>
      <c r="F172" s="4">
        <f t="shared" si="23"/>
        <v>0</v>
      </c>
      <c r="G172" s="3" t="s">
        <v>16</v>
      </c>
      <c r="H172" s="3">
        <v>50825.08</v>
      </c>
      <c r="I172" s="3">
        <v>8949</v>
      </c>
      <c r="J172" s="3">
        <v>0.157</v>
      </c>
      <c r="K172" s="3">
        <v>21</v>
      </c>
      <c r="L172" s="3">
        <v>84.7</v>
      </c>
      <c r="M172" s="3">
        <v>7.73</v>
      </c>
      <c r="N172" s="4">
        <f t="shared" si="24"/>
        <v>7.73</v>
      </c>
      <c r="O172" s="3">
        <v>0</v>
      </c>
      <c r="P172" s="3">
        <v>4.9000000000000004</v>
      </c>
      <c r="Q172" s="4">
        <f t="shared" si="17"/>
        <v>4.9000000000000004</v>
      </c>
      <c r="R172" s="3">
        <v>769702.76</v>
      </c>
      <c r="S172" s="3">
        <v>158697</v>
      </c>
      <c r="X172" s="3">
        <v>50825.08</v>
      </c>
      <c r="Y172" s="3">
        <v>8949</v>
      </c>
      <c r="Z172" s="3">
        <v>84.7</v>
      </c>
      <c r="AA172" s="4">
        <f t="shared" si="18"/>
        <v>0</v>
      </c>
      <c r="AB172" s="4">
        <f t="shared" si="19"/>
        <v>0</v>
      </c>
      <c r="AC172" s="4">
        <f t="shared" si="20"/>
        <v>0</v>
      </c>
    </row>
    <row r="173" spans="1:29">
      <c r="A173" s="3" t="s">
        <v>64</v>
      </c>
      <c r="B173" s="5">
        <v>45748</v>
      </c>
      <c r="C173" s="3" t="s">
        <v>15</v>
      </c>
      <c r="D173" s="4">
        <f t="shared" si="21"/>
        <v>0</v>
      </c>
      <c r="E173" s="4">
        <f t="shared" si="22"/>
        <v>0</v>
      </c>
      <c r="F173" s="4">
        <f t="shared" si="23"/>
        <v>0</v>
      </c>
      <c r="G173" s="3" t="s">
        <v>16</v>
      </c>
      <c r="H173" s="3">
        <v>36606.51</v>
      </c>
      <c r="I173" s="3">
        <v>7671</v>
      </c>
      <c r="J173" s="3">
        <v>0.11799999999999999</v>
      </c>
      <c r="K173" s="3">
        <v>18</v>
      </c>
      <c r="L173" s="3">
        <v>89.8</v>
      </c>
      <c r="M173" s="3">
        <v>0.25</v>
      </c>
      <c r="N173" s="4">
        <f t="shared" si="24"/>
        <v>0.25</v>
      </c>
      <c r="O173" s="3">
        <v>0</v>
      </c>
      <c r="P173" s="3">
        <v>4.4000000000000004</v>
      </c>
      <c r="Q173" s="4">
        <f t="shared" si="17"/>
        <v>4.4000000000000004</v>
      </c>
      <c r="R173" s="3">
        <v>679731.57</v>
      </c>
      <c r="S173" s="3">
        <v>121546.42</v>
      </c>
      <c r="X173" s="3">
        <v>36606.51</v>
      </c>
      <c r="Y173" s="3">
        <v>7671</v>
      </c>
      <c r="Z173" s="3">
        <v>89.8</v>
      </c>
      <c r="AA173" s="4">
        <f t="shared" si="18"/>
        <v>0</v>
      </c>
      <c r="AB173" s="4">
        <f t="shared" si="19"/>
        <v>0</v>
      </c>
      <c r="AC173" s="4">
        <f t="shared" si="20"/>
        <v>0</v>
      </c>
    </row>
    <row r="174" spans="1:29">
      <c r="A174" s="3" t="s">
        <v>65</v>
      </c>
      <c r="B174" s="5">
        <v>45658</v>
      </c>
      <c r="C174" s="3" t="s">
        <v>15</v>
      </c>
      <c r="D174" s="4">
        <f t="shared" si="21"/>
        <v>0</v>
      </c>
      <c r="E174" s="4">
        <f t="shared" si="22"/>
        <v>0</v>
      </c>
      <c r="F174" s="4">
        <f t="shared" si="23"/>
        <v>0</v>
      </c>
      <c r="G174" s="3" t="s">
        <v>16</v>
      </c>
      <c r="H174" s="3">
        <v>65237.79</v>
      </c>
      <c r="I174" s="3">
        <v>8741</v>
      </c>
      <c r="J174" s="3">
        <v>0.157</v>
      </c>
      <c r="K174" s="3">
        <v>20</v>
      </c>
      <c r="L174" s="3">
        <v>94.4</v>
      </c>
      <c r="M174" s="3">
        <v>6.43</v>
      </c>
      <c r="N174" s="4">
        <f t="shared" si="24"/>
        <v>6.43</v>
      </c>
      <c r="O174" s="3">
        <v>0</v>
      </c>
      <c r="P174" s="3">
        <v>3.3</v>
      </c>
      <c r="Q174" s="4">
        <f t="shared" si="17"/>
        <v>3.3</v>
      </c>
      <c r="R174" s="3">
        <v>780344.18</v>
      </c>
      <c r="S174" s="3">
        <v>118239.09</v>
      </c>
      <c r="X174" s="3">
        <v>65237.79</v>
      </c>
      <c r="Y174" s="3">
        <v>8741</v>
      </c>
      <c r="Z174" s="3">
        <v>94.4</v>
      </c>
      <c r="AA174" s="4">
        <f t="shared" si="18"/>
        <v>0</v>
      </c>
      <c r="AB174" s="4">
        <f t="shared" si="19"/>
        <v>0</v>
      </c>
      <c r="AC174" s="4">
        <f t="shared" si="20"/>
        <v>0</v>
      </c>
    </row>
    <row r="175" spans="1:29">
      <c r="A175" s="3" t="s">
        <v>65</v>
      </c>
      <c r="B175" s="5">
        <v>45689</v>
      </c>
      <c r="C175" s="3" t="s">
        <v>15</v>
      </c>
      <c r="D175" s="4">
        <f t="shared" si="21"/>
        <v>0</v>
      </c>
      <c r="E175" s="4">
        <f t="shared" si="22"/>
        <v>0</v>
      </c>
      <c r="F175" s="4">
        <f t="shared" si="23"/>
        <v>0</v>
      </c>
      <c r="G175" s="3" t="s">
        <v>16</v>
      </c>
      <c r="H175" s="3">
        <v>43645.98</v>
      </c>
      <c r="I175" s="3">
        <v>9480</v>
      </c>
      <c r="J175" s="3">
        <v>0.109</v>
      </c>
      <c r="K175" s="3">
        <v>22</v>
      </c>
      <c r="L175" s="3">
        <v>89</v>
      </c>
      <c r="M175" s="3">
        <v>2.11</v>
      </c>
      <c r="N175" s="4">
        <f t="shared" si="24"/>
        <v>2.11</v>
      </c>
      <c r="O175" s="3">
        <v>0</v>
      </c>
      <c r="P175" s="3">
        <v>3.1</v>
      </c>
      <c r="Q175" s="4">
        <f t="shared" si="17"/>
        <v>3.1</v>
      </c>
      <c r="R175" s="3">
        <v>721364.11</v>
      </c>
      <c r="S175" s="3">
        <v>147272.81</v>
      </c>
      <c r="X175" s="3">
        <v>43645.98</v>
      </c>
      <c r="Y175" s="3">
        <v>9480</v>
      </c>
      <c r="Z175" s="3">
        <v>89</v>
      </c>
      <c r="AA175" s="4">
        <f t="shared" si="18"/>
        <v>0</v>
      </c>
      <c r="AB175" s="4">
        <f t="shared" si="19"/>
        <v>0</v>
      </c>
      <c r="AC175" s="4">
        <f t="shared" si="20"/>
        <v>0</v>
      </c>
    </row>
    <row r="176" spans="1:29">
      <c r="A176" s="3" t="s">
        <v>65</v>
      </c>
      <c r="B176" s="5">
        <v>45717</v>
      </c>
      <c r="C176" s="3" t="s">
        <v>15</v>
      </c>
      <c r="D176" s="4">
        <f t="shared" si="21"/>
        <v>0</v>
      </c>
      <c r="E176" s="4">
        <f t="shared" si="22"/>
        <v>0</v>
      </c>
      <c r="F176" s="4">
        <f t="shared" si="23"/>
        <v>0</v>
      </c>
      <c r="G176" s="3" t="s">
        <v>16</v>
      </c>
      <c r="H176" s="3">
        <v>68040.149999999994</v>
      </c>
      <c r="I176" s="3">
        <v>9826</v>
      </c>
      <c r="J176" s="3">
        <v>0.125</v>
      </c>
      <c r="K176" s="3">
        <v>20</v>
      </c>
      <c r="L176" s="3">
        <v>83.9</v>
      </c>
      <c r="M176" s="3">
        <v>9.1199999999999992</v>
      </c>
      <c r="N176" s="4">
        <f t="shared" si="24"/>
        <v>9.1199999999999992</v>
      </c>
      <c r="O176" s="3">
        <v>0</v>
      </c>
      <c r="P176" s="3">
        <v>3.6</v>
      </c>
      <c r="Q176" s="4">
        <f t="shared" si="17"/>
        <v>3.6</v>
      </c>
      <c r="R176" s="3">
        <v>758138.29</v>
      </c>
      <c r="S176" s="3">
        <v>132975.26</v>
      </c>
      <c r="X176" s="3">
        <v>68040.149999999994</v>
      </c>
      <c r="Y176" s="3">
        <v>9826</v>
      </c>
      <c r="Z176" s="3">
        <v>83.9</v>
      </c>
      <c r="AA176" s="4">
        <f t="shared" si="18"/>
        <v>0</v>
      </c>
      <c r="AB176" s="4">
        <f t="shared" si="19"/>
        <v>0</v>
      </c>
      <c r="AC176" s="4">
        <f t="shared" si="20"/>
        <v>0</v>
      </c>
    </row>
    <row r="177" spans="1:29">
      <c r="A177" s="3" t="s">
        <v>65</v>
      </c>
      <c r="B177" s="5">
        <v>45748</v>
      </c>
      <c r="C177" s="3" t="s">
        <v>15</v>
      </c>
      <c r="D177" s="4">
        <f t="shared" si="21"/>
        <v>0</v>
      </c>
      <c r="E177" s="4">
        <f t="shared" si="22"/>
        <v>0</v>
      </c>
      <c r="F177" s="4">
        <f t="shared" si="23"/>
        <v>0</v>
      </c>
      <c r="G177" s="3" t="s">
        <v>16</v>
      </c>
      <c r="H177" s="3">
        <v>63043.94</v>
      </c>
      <c r="I177" s="3">
        <v>10402</v>
      </c>
      <c r="J177" s="3">
        <v>0.159</v>
      </c>
      <c r="K177" s="3">
        <v>23</v>
      </c>
      <c r="L177" s="3">
        <v>93.9</v>
      </c>
      <c r="M177" s="3">
        <v>2.71</v>
      </c>
      <c r="N177" s="4">
        <f t="shared" si="24"/>
        <v>2.71</v>
      </c>
      <c r="O177" s="3">
        <v>0</v>
      </c>
      <c r="P177" s="3">
        <v>3.1</v>
      </c>
      <c r="Q177" s="4">
        <f t="shared" si="17"/>
        <v>3.1</v>
      </c>
      <c r="R177" s="3">
        <v>804264</v>
      </c>
      <c r="S177" s="3">
        <v>167117.91</v>
      </c>
      <c r="X177" s="3">
        <v>63043.94</v>
      </c>
      <c r="Y177" s="3">
        <v>10402</v>
      </c>
      <c r="Z177" s="3">
        <v>93.9</v>
      </c>
      <c r="AA177" s="4">
        <f t="shared" si="18"/>
        <v>0</v>
      </c>
      <c r="AB177" s="4">
        <f t="shared" si="19"/>
        <v>0</v>
      </c>
      <c r="AC177" s="4">
        <f t="shared" si="20"/>
        <v>0</v>
      </c>
    </row>
    <row r="178" spans="1:29">
      <c r="A178" s="3" t="s">
        <v>66</v>
      </c>
      <c r="B178" s="5">
        <v>45658</v>
      </c>
      <c r="C178" s="3" t="s">
        <v>27</v>
      </c>
      <c r="D178" s="4">
        <f t="shared" si="21"/>
        <v>0</v>
      </c>
      <c r="E178" s="4">
        <f t="shared" si="22"/>
        <v>0</v>
      </c>
      <c r="F178" s="4">
        <f t="shared" si="23"/>
        <v>1</v>
      </c>
      <c r="G178" s="3" t="s">
        <v>21</v>
      </c>
      <c r="H178" s="3">
        <v>67494.09</v>
      </c>
      <c r="I178" s="3">
        <v>12361</v>
      </c>
      <c r="J178" s="3">
        <v>4.5999999999999999E-2</v>
      </c>
      <c r="K178" s="3">
        <v>24</v>
      </c>
      <c r="L178" s="3">
        <v>76.599999999999994</v>
      </c>
      <c r="M178" s="3">
        <v>3.65</v>
      </c>
      <c r="N178" s="4">
        <f t="shared" si="24"/>
        <v>3.65</v>
      </c>
      <c r="O178" s="3">
        <v>1</v>
      </c>
      <c r="P178" s="3">
        <v>3.7</v>
      </c>
      <c r="Q178" s="4">
        <f t="shared" si="17"/>
        <v>3.7</v>
      </c>
      <c r="R178" s="3">
        <v>887537.75</v>
      </c>
      <c r="S178" s="3">
        <v>160362.92000000001</v>
      </c>
      <c r="X178" s="3">
        <v>67494.09</v>
      </c>
      <c r="Y178" s="3">
        <v>12361</v>
      </c>
      <c r="Z178" s="3">
        <v>76.599999999999994</v>
      </c>
      <c r="AA178" s="4">
        <f t="shared" si="18"/>
        <v>0</v>
      </c>
      <c r="AB178" s="4">
        <f t="shared" si="19"/>
        <v>0</v>
      </c>
      <c r="AC178" s="4">
        <f t="shared" si="20"/>
        <v>0</v>
      </c>
    </row>
    <row r="179" spans="1:29">
      <c r="A179" s="3" t="s">
        <v>66</v>
      </c>
      <c r="B179" s="5">
        <v>45689</v>
      </c>
      <c r="C179" s="3" t="s">
        <v>27</v>
      </c>
      <c r="D179" s="4">
        <f t="shared" si="21"/>
        <v>0</v>
      </c>
      <c r="E179" s="4">
        <f t="shared" si="22"/>
        <v>0</v>
      </c>
      <c r="F179" s="4">
        <f t="shared" si="23"/>
        <v>1</v>
      </c>
      <c r="G179" s="3" t="s">
        <v>21</v>
      </c>
      <c r="H179" s="3">
        <v>29389.32</v>
      </c>
      <c r="I179" s="3">
        <v>7925</v>
      </c>
      <c r="J179" s="3">
        <v>0.17699999999999999</v>
      </c>
      <c r="K179" s="3">
        <v>21</v>
      </c>
      <c r="L179" s="3">
        <v>90.9</v>
      </c>
      <c r="M179" s="3">
        <v>7.86</v>
      </c>
      <c r="N179" s="4">
        <f t="shared" si="24"/>
        <v>7.86</v>
      </c>
      <c r="O179" s="3">
        <v>0</v>
      </c>
      <c r="P179" s="3">
        <v>4</v>
      </c>
      <c r="Q179" s="4">
        <f t="shared" si="17"/>
        <v>4</v>
      </c>
      <c r="R179" s="3">
        <v>783582</v>
      </c>
      <c r="S179" s="3">
        <v>130670.93</v>
      </c>
      <c r="X179" s="3">
        <v>29389.32</v>
      </c>
      <c r="Y179" s="3">
        <v>7925</v>
      </c>
      <c r="Z179" s="3">
        <v>90.9</v>
      </c>
      <c r="AA179" s="4">
        <f t="shared" si="18"/>
        <v>0</v>
      </c>
      <c r="AB179" s="4">
        <f t="shared" si="19"/>
        <v>0</v>
      </c>
      <c r="AC179" s="4">
        <f t="shared" si="20"/>
        <v>0</v>
      </c>
    </row>
    <row r="180" spans="1:29">
      <c r="A180" s="3" t="s">
        <v>66</v>
      </c>
      <c r="B180" s="5">
        <v>45717</v>
      </c>
      <c r="C180" s="3" t="s">
        <v>27</v>
      </c>
      <c r="D180" s="4">
        <f t="shared" si="21"/>
        <v>0</v>
      </c>
      <c r="E180" s="4">
        <f t="shared" si="22"/>
        <v>0</v>
      </c>
      <c r="F180" s="4">
        <f t="shared" si="23"/>
        <v>1</v>
      </c>
      <c r="G180" s="3" t="s">
        <v>21</v>
      </c>
      <c r="H180" s="3">
        <v>40535.089999999997</v>
      </c>
      <c r="I180" s="3">
        <v>8870</v>
      </c>
      <c r="J180" s="3">
        <v>4.1000000000000002E-2</v>
      </c>
      <c r="K180" s="3">
        <v>21</v>
      </c>
      <c r="L180" s="3">
        <v>86.6</v>
      </c>
      <c r="M180" s="3">
        <v>0.3</v>
      </c>
      <c r="N180" s="4">
        <f t="shared" si="24"/>
        <v>0.3</v>
      </c>
      <c r="O180" s="3">
        <v>0</v>
      </c>
      <c r="P180" s="3">
        <v>4.0999999999999996</v>
      </c>
      <c r="Q180" s="4">
        <f t="shared" si="17"/>
        <v>4.0999999999999996</v>
      </c>
      <c r="R180" s="3">
        <v>781955.52</v>
      </c>
      <c r="S180" s="3">
        <v>152578.71</v>
      </c>
      <c r="X180" s="3">
        <v>40535.089999999997</v>
      </c>
      <c r="Y180" s="3">
        <v>8870</v>
      </c>
      <c r="Z180" s="3">
        <v>86.6</v>
      </c>
      <c r="AA180" s="4">
        <f t="shared" si="18"/>
        <v>0</v>
      </c>
      <c r="AB180" s="4">
        <f t="shared" si="19"/>
        <v>0</v>
      </c>
      <c r="AC180" s="4">
        <f t="shared" si="20"/>
        <v>0</v>
      </c>
    </row>
    <row r="181" spans="1:29">
      <c r="A181" s="3" t="s">
        <v>66</v>
      </c>
      <c r="B181" s="5">
        <v>45748</v>
      </c>
      <c r="C181" s="3" t="s">
        <v>27</v>
      </c>
      <c r="D181" s="4">
        <f t="shared" si="21"/>
        <v>0</v>
      </c>
      <c r="E181" s="4">
        <f t="shared" si="22"/>
        <v>0</v>
      </c>
      <c r="F181" s="4">
        <f t="shared" si="23"/>
        <v>1</v>
      </c>
      <c r="G181" s="3" t="s">
        <v>21</v>
      </c>
      <c r="H181" s="3">
        <v>74881.56</v>
      </c>
      <c r="I181" s="3">
        <v>9999</v>
      </c>
      <c r="J181" s="3">
        <v>1.2999999999999999E-2</v>
      </c>
      <c r="K181" s="3">
        <v>20</v>
      </c>
      <c r="L181" s="3">
        <v>89.6</v>
      </c>
      <c r="M181" s="3">
        <v>8.44</v>
      </c>
      <c r="N181" s="4">
        <f t="shared" si="24"/>
        <v>8.44</v>
      </c>
      <c r="O181" s="3">
        <v>0</v>
      </c>
      <c r="P181" s="3">
        <v>4.0999999999999996</v>
      </c>
      <c r="Q181" s="4">
        <f t="shared" si="17"/>
        <v>4.0999999999999996</v>
      </c>
      <c r="R181" s="3">
        <v>898031.04</v>
      </c>
      <c r="S181" s="3">
        <v>138666.5</v>
      </c>
      <c r="X181" s="3">
        <v>74881.56</v>
      </c>
      <c r="Y181" s="3">
        <v>9999</v>
      </c>
      <c r="Z181" s="3">
        <v>89.6</v>
      </c>
      <c r="AA181" s="4">
        <f t="shared" si="18"/>
        <v>0</v>
      </c>
      <c r="AB181" s="4">
        <f t="shared" si="19"/>
        <v>0</v>
      </c>
      <c r="AC181" s="4">
        <f t="shared" si="20"/>
        <v>0</v>
      </c>
    </row>
    <row r="182" spans="1:29">
      <c r="A182" s="3" t="s">
        <v>67</v>
      </c>
      <c r="B182" s="5">
        <v>45658</v>
      </c>
      <c r="C182" s="3" t="s">
        <v>27</v>
      </c>
      <c r="D182" s="4">
        <f t="shared" si="21"/>
        <v>0</v>
      </c>
      <c r="E182" s="4">
        <f t="shared" si="22"/>
        <v>0</v>
      </c>
      <c r="F182" s="4">
        <f t="shared" si="23"/>
        <v>1</v>
      </c>
      <c r="G182" s="3" t="s">
        <v>16</v>
      </c>
      <c r="H182" s="3">
        <v>68491.11</v>
      </c>
      <c r="I182" s="3">
        <v>11154</v>
      </c>
      <c r="J182" s="3">
        <v>1E-3</v>
      </c>
      <c r="K182" s="3">
        <v>24</v>
      </c>
      <c r="L182" s="3">
        <v>89.4</v>
      </c>
      <c r="M182" s="3">
        <v>5.27</v>
      </c>
      <c r="N182" s="4">
        <f t="shared" si="24"/>
        <v>5.27</v>
      </c>
      <c r="O182" s="3">
        <v>1</v>
      </c>
      <c r="P182" s="3">
        <v>3.9</v>
      </c>
      <c r="Q182" s="4">
        <f t="shared" si="17"/>
        <v>3.9</v>
      </c>
      <c r="R182" s="3">
        <v>855341.28</v>
      </c>
      <c r="S182" s="3">
        <v>175823.8</v>
      </c>
      <c r="X182" s="3">
        <v>68491.11</v>
      </c>
      <c r="Y182" s="3">
        <v>11154</v>
      </c>
      <c r="Z182" s="3">
        <v>89.4</v>
      </c>
      <c r="AA182" s="4">
        <f t="shared" si="18"/>
        <v>0</v>
      </c>
      <c r="AB182" s="4">
        <f t="shared" si="19"/>
        <v>0</v>
      </c>
      <c r="AC182" s="4">
        <f t="shared" si="20"/>
        <v>0</v>
      </c>
    </row>
    <row r="183" spans="1:29">
      <c r="A183" s="3" t="s">
        <v>67</v>
      </c>
      <c r="B183" s="5">
        <v>45689</v>
      </c>
      <c r="C183" s="3" t="s">
        <v>27</v>
      </c>
      <c r="D183" s="4">
        <f t="shared" si="21"/>
        <v>0</v>
      </c>
      <c r="E183" s="4">
        <f t="shared" si="22"/>
        <v>0</v>
      </c>
      <c r="F183" s="4">
        <f t="shared" si="23"/>
        <v>1</v>
      </c>
      <c r="G183" s="3" t="s">
        <v>16</v>
      </c>
      <c r="H183" s="3">
        <v>45209.25</v>
      </c>
      <c r="I183" s="3">
        <v>9287</v>
      </c>
      <c r="J183" s="3">
        <v>0.14099999999999999</v>
      </c>
      <c r="K183" s="3">
        <v>22</v>
      </c>
      <c r="L183" s="3">
        <v>86.4</v>
      </c>
      <c r="M183" s="3">
        <v>13.22</v>
      </c>
      <c r="N183" s="4">
        <f t="shared" si="24"/>
        <v>13.22</v>
      </c>
      <c r="O183" s="3">
        <v>0</v>
      </c>
      <c r="P183" s="3">
        <v>3.6</v>
      </c>
      <c r="Q183" s="4">
        <f t="shared" si="17"/>
        <v>3.6</v>
      </c>
      <c r="R183" s="3">
        <v>751393.88</v>
      </c>
      <c r="S183" s="3">
        <v>91480.320000000007</v>
      </c>
      <c r="X183" s="3">
        <v>45209.25</v>
      </c>
      <c r="Y183" s="3">
        <v>9287</v>
      </c>
      <c r="Z183" s="3">
        <v>86.4</v>
      </c>
      <c r="AA183" s="4">
        <f t="shared" si="18"/>
        <v>0</v>
      </c>
      <c r="AB183" s="4">
        <f t="shared" si="19"/>
        <v>0</v>
      </c>
      <c r="AC183" s="4">
        <f t="shared" si="20"/>
        <v>0</v>
      </c>
    </row>
    <row r="184" spans="1:29">
      <c r="A184" s="3" t="s">
        <v>67</v>
      </c>
      <c r="B184" s="5">
        <v>45717</v>
      </c>
      <c r="C184" s="3" t="s">
        <v>27</v>
      </c>
      <c r="D184" s="4">
        <f t="shared" si="21"/>
        <v>0</v>
      </c>
      <c r="E184" s="4">
        <f t="shared" si="22"/>
        <v>0</v>
      </c>
      <c r="F184" s="4">
        <f t="shared" si="23"/>
        <v>1</v>
      </c>
      <c r="G184" s="3" t="s">
        <v>16</v>
      </c>
      <c r="H184" s="3">
        <v>63010.23</v>
      </c>
      <c r="I184" s="3">
        <v>9812</v>
      </c>
      <c r="J184" s="3">
        <v>0.113</v>
      </c>
      <c r="K184" s="3">
        <v>24</v>
      </c>
      <c r="L184" s="3">
        <v>76.8</v>
      </c>
      <c r="M184" s="3">
        <v>1.02</v>
      </c>
      <c r="N184" s="4">
        <f t="shared" si="24"/>
        <v>1.02</v>
      </c>
      <c r="O184" s="3">
        <v>1</v>
      </c>
      <c r="P184" s="3">
        <v>3.8</v>
      </c>
      <c r="Q184" s="4">
        <f t="shared" si="17"/>
        <v>3.8</v>
      </c>
      <c r="R184" s="3">
        <v>761077.08</v>
      </c>
      <c r="S184" s="3">
        <v>113605.93</v>
      </c>
      <c r="X184" s="3">
        <v>63010.23</v>
      </c>
      <c r="Y184" s="3">
        <v>9812</v>
      </c>
      <c r="Z184" s="3">
        <v>76.8</v>
      </c>
      <c r="AA184" s="4">
        <f t="shared" si="18"/>
        <v>0</v>
      </c>
      <c r="AB184" s="4">
        <f t="shared" si="19"/>
        <v>0</v>
      </c>
      <c r="AC184" s="4">
        <f t="shared" si="20"/>
        <v>0</v>
      </c>
    </row>
    <row r="185" spans="1:29">
      <c r="A185" s="3" t="s">
        <v>67</v>
      </c>
      <c r="B185" s="5">
        <v>45748</v>
      </c>
      <c r="C185" s="3" t="s">
        <v>27</v>
      </c>
      <c r="D185" s="4">
        <f t="shared" si="21"/>
        <v>0</v>
      </c>
      <c r="E185" s="4">
        <f t="shared" si="22"/>
        <v>0</v>
      </c>
      <c r="F185" s="4">
        <f t="shared" si="23"/>
        <v>1</v>
      </c>
      <c r="G185" s="3" t="s">
        <v>16</v>
      </c>
      <c r="H185" s="3">
        <v>57948.88</v>
      </c>
      <c r="I185" s="3">
        <v>10741</v>
      </c>
      <c r="J185" s="3">
        <v>7.0000000000000007E-2</v>
      </c>
      <c r="K185" s="3">
        <v>25</v>
      </c>
      <c r="L185" s="3">
        <v>90.1</v>
      </c>
      <c r="M185" s="3">
        <v>4.03</v>
      </c>
      <c r="N185" s="4">
        <f t="shared" si="24"/>
        <v>4.03</v>
      </c>
      <c r="O185" s="3">
        <v>0</v>
      </c>
      <c r="P185" s="3">
        <v>3.1</v>
      </c>
      <c r="Q185" s="4">
        <f t="shared" si="17"/>
        <v>3.1</v>
      </c>
      <c r="R185" s="3">
        <v>819660.59</v>
      </c>
      <c r="S185" s="3">
        <v>172699.95</v>
      </c>
      <c r="X185" s="3">
        <v>57948.88</v>
      </c>
      <c r="Y185" s="3">
        <v>10741</v>
      </c>
      <c r="Z185" s="3">
        <v>90.1</v>
      </c>
      <c r="AA185" s="4">
        <f t="shared" si="18"/>
        <v>0</v>
      </c>
      <c r="AB185" s="4">
        <f t="shared" si="19"/>
        <v>0</v>
      </c>
      <c r="AC185" s="4">
        <f t="shared" si="20"/>
        <v>0</v>
      </c>
    </row>
    <row r="186" spans="1:29">
      <c r="A186" s="3" t="s">
        <v>68</v>
      </c>
      <c r="B186" s="5">
        <v>45658</v>
      </c>
      <c r="C186" s="3" t="s">
        <v>20</v>
      </c>
      <c r="D186" s="4">
        <f t="shared" si="21"/>
        <v>1</v>
      </c>
      <c r="E186" s="4">
        <f t="shared" si="22"/>
        <v>0</v>
      </c>
      <c r="F186" s="4">
        <f t="shared" si="23"/>
        <v>0</v>
      </c>
      <c r="G186" s="3" t="s">
        <v>18</v>
      </c>
      <c r="H186" s="3">
        <v>71941.62</v>
      </c>
      <c r="I186" s="3">
        <v>6084</v>
      </c>
      <c r="J186" s="3">
        <v>7.1999999999999995E-2</v>
      </c>
      <c r="K186" s="3">
        <v>13</v>
      </c>
      <c r="L186" s="3">
        <v>93.7</v>
      </c>
      <c r="M186" s="3">
        <v>2.34</v>
      </c>
      <c r="N186" s="4">
        <f t="shared" si="24"/>
        <v>2.34</v>
      </c>
      <c r="O186" s="3">
        <v>0</v>
      </c>
      <c r="P186" s="3">
        <v>4.4000000000000004</v>
      </c>
      <c r="Q186" s="4">
        <f t="shared" si="17"/>
        <v>4.4000000000000004</v>
      </c>
      <c r="R186" s="3">
        <v>681855.56</v>
      </c>
      <c r="S186" s="3">
        <v>117645.61</v>
      </c>
      <c r="X186" s="3">
        <v>71941.62</v>
      </c>
      <c r="Y186" s="3">
        <v>6084</v>
      </c>
      <c r="Z186" s="3">
        <v>93.7</v>
      </c>
      <c r="AA186" s="4">
        <f t="shared" si="18"/>
        <v>0</v>
      </c>
      <c r="AB186" s="4">
        <f t="shared" si="19"/>
        <v>0</v>
      </c>
      <c r="AC186" s="4">
        <f t="shared" si="20"/>
        <v>0</v>
      </c>
    </row>
    <row r="187" spans="1:29">
      <c r="A187" s="3" t="s">
        <v>68</v>
      </c>
      <c r="B187" s="5">
        <v>45689</v>
      </c>
      <c r="C187" s="3" t="s">
        <v>20</v>
      </c>
      <c r="D187" s="4">
        <f t="shared" si="21"/>
        <v>1</v>
      </c>
      <c r="E187" s="4">
        <f t="shared" si="22"/>
        <v>0</v>
      </c>
      <c r="F187" s="4">
        <f t="shared" si="23"/>
        <v>0</v>
      </c>
      <c r="G187" s="3" t="s">
        <v>18</v>
      </c>
      <c r="H187" s="3">
        <v>57147.88</v>
      </c>
      <c r="I187" s="3">
        <v>5252</v>
      </c>
      <c r="J187" s="3">
        <v>0.161</v>
      </c>
      <c r="K187" s="3">
        <v>15</v>
      </c>
      <c r="L187" s="3">
        <v>95.5</v>
      </c>
      <c r="M187" s="3">
        <v>8.51</v>
      </c>
      <c r="N187" s="4">
        <f t="shared" si="24"/>
        <v>8.51</v>
      </c>
      <c r="O187" s="3">
        <v>0</v>
      </c>
      <c r="P187" s="3">
        <v>4.4000000000000004</v>
      </c>
      <c r="Q187" s="4">
        <f t="shared" si="17"/>
        <v>4.4000000000000004</v>
      </c>
      <c r="R187" s="3">
        <v>678311.17</v>
      </c>
      <c r="S187" s="3">
        <v>132029.76000000001</v>
      </c>
      <c r="X187" s="3">
        <v>57147.88</v>
      </c>
      <c r="Y187" s="3">
        <v>5252</v>
      </c>
      <c r="Z187" s="3">
        <v>95.5</v>
      </c>
      <c r="AA187" s="4">
        <f t="shared" si="18"/>
        <v>0</v>
      </c>
      <c r="AB187" s="4">
        <f t="shared" si="19"/>
        <v>0</v>
      </c>
      <c r="AC187" s="4">
        <f t="shared" si="20"/>
        <v>0</v>
      </c>
    </row>
    <row r="188" spans="1:29">
      <c r="A188" s="3" t="s">
        <v>68</v>
      </c>
      <c r="B188" s="5">
        <v>45717</v>
      </c>
      <c r="C188" s="3" t="s">
        <v>20</v>
      </c>
      <c r="D188" s="4">
        <f t="shared" si="21"/>
        <v>1</v>
      </c>
      <c r="E188" s="4">
        <f t="shared" si="22"/>
        <v>0</v>
      </c>
      <c r="F188" s="4">
        <f t="shared" si="23"/>
        <v>0</v>
      </c>
      <c r="G188" s="3" t="s">
        <v>18</v>
      </c>
      <c r="H188" s="3">
        <v>48031.74</v>
      </c>
      <c r="I188" s="3">
        <v>6516</v>
      </c>
      <c r="J188" s="3">
        <v>6.7000000000000004E-2</v>
      </c>
      <c r="K188" s="3">
        <v>14</v>
      </c>
      <c r="L188" s="3">
        <v>99</v>
      </c>
      <c r="M188" s="3">
        <v>0.48</v>
      </c>
      <c r="N188" s="4">
        <f t="shared" si="24"/>
        <v>0.48</v>
      </c>
      <c r="O188" s="3">
        <v>1</v>
      </c>
      <c r="P188" s="3">
        <v>4.3</v>
      </c>
      <c r="Q188" s="4">
        <f t="shared" si="17"/>
        <v>4.3</v>
      </c>
      <c r="R188" s="3">
        <v>765906.95</v>
      </c>
      <c r="S188" s="3">
        <v>114005.9</v>
      </c>
      <c r="X188" s="3">
        <v>48031.74</v>
      </c>
      <c r="Y188" s="3">
        <v>6516</v>
      </c>
      <c r="Z188" s="3">
        <v>99</v>
      </c>
      <c r="AA188" s="4">
        <f t="shared" si="18"/>
        <v>0</v>
      </c>
      <c r="AB188" s="4">
        <f t="shared" si="19"/>
        <v>0</v>
      </c>
      <c r="AC188" s="4">
        <f t="shared" si="20"/>
        <v>0</v>
      </c>
    </row>
    <row r="189" spans="1:29">
      <c r="A189" s="3" t="s">
        <v>68</v>
      </c>
      <c r="B189" s="5">
        <v>45748</v>
      </c>
      <c r="C189" s="3" t="s">
        <v>20</v>
      </c>
      <c r="D189" s="4">
        <f t="shared" si="21"/>
        <v>1</v>
      </c>
      <c r="E189" s="4">
        <f t="shared" si="22"/>
        <v>0</v>
      </c>
      <c r="F189" s="4">
        <f t="shared" si="23"/>
        <v>0</v>
      </c>
      <c r="G189" s="3" t="s">
        <v>18</v>
      </c>
      <c r="H189" s="3">
        <v>72784.800000000003</v>
      </c>
      <c r="I189" s="3">
        <v>7932</v>
      </c>
      <c r="J189" s="3">
        <v>9.4E-2</v>
      </c>
      <c r="K189" s="3">
        <v>20</v>
      </c>
      <c r="L189" s="3">
        <v>74.900000000000006</v>
      </c>
      <c r="M189" s="3">
        <v>13.62</v>
      </c>
      <c r="N189" s="4">
        <f t="shared" si="24"/>
        <v>13.62</v>
      </c>
      <c r="O189" s="3">
        <v>0</v>
      </c>
      <c r="P189" s="3">
        <v>4.2</v>
      </c>
      <c r="Q189" s="4">
        <f t="shared" si="17"/>
        <v>4.2</v>
      </c>
      <c r="R189" s="3">
        <v>712546.38</v>
      </c>
      <c r="S189" s="3">
        <v>101480.04</v>
      </c>
      <c r="X189" s="3">
        <v>72784.800000000003</v>
      </c>
      <c r="Y189" s="3">
        <v>7932</v>
      </c>
      <c r="Z189" s="3">
        <v>74.900000000000006</v>
      </c>
      <c r="AA189" s="4">
        <f t="shared" si="18"/>
        <v>0</v>
      </c>
      <c r="AB189" s="4">
        <f t="shared" si="19"/>
        <v>0</v>
      </c>
      <c r="AC189" s="4">
        <f t="shared" si="20"/>
        <v>0</v>
      </c>
    </row>
    <row r="190" spans="1:29">
      <c r="A190" s="3" t="s">
        <v>69</v>
      </c>
      <c r="B190" s="5">
        <v>45658</v>
      </c>
      <c r="C190" s="3" t="s">
        <v>15</v>
      </c>
      <c r="D190" s="4">
        <f t="shared" si="21"/>
        <v>0</v>
      </c>
      <c r="E190" s="4">
        <f t="shared" si="22"/>
        <v>0</v>
      </c>
      <c r="F190" s="4">
        <f t="shared" si="23"/>
        <v>0</v>
      </c>
      <c r="G190" s="3" t="s">
        <v>18</v>
      </c>
      <c r="H190" s="3">
        <v>71641.899999999994</v>
      </c>
      <c r="I190" s="3">
        <v>3506</v>
      </c>
      <c r="J190" s="3">
        <v>0</v>
      </c>
      <c r="K190" s="3">
        <v>11</v>
      </c>
      <c r="L190" s="3">
        <v>86.4</v>
      </c>
      <c r="M190" s="3">
        <v>7.77</v>
      </c>
      <c r="N190" s="4">
        <f t="shared" si="24"/>
        <v>7.77</v>
      </c>
      <c r="O190" s="3">
        <v>0</v>
      </c>
      <c r="P190" s="3">
        <v>4.0999999999999996</v>
      </c>
      <c r="Q190" s="4">
        <f t="shared" si="17"/>
        <v>4.0999999999999996</v>
      </c>
      <c r="R190" s="3">
        <v>625993.82999999996</v>
      </c>
      <c r="S190" s="3">
        <v>98960.320000000007</v>
      </c>
      <c r="X190" s="3">
        <v>71641.899999999994</v>
      </c>
      <c r="Y190" s="3">
        <v>3506</v>
      </c>
      <c r="Z190" s="3">
        <v>86.4</v>
      </c>
      <c r="AA190" s="4">
        <f t="shared" si="18"/>
        <v>0</v>
      </c>
      <c r="AB190" s="4">
        <f t="shared" si="19"/>
        <v>0</v>
      </c>
      <c r="AC190" s="4">
        <f t="shared" si="20"/>
        <v>0</v>
      </c>
    </row>
    <row r="191" spans="1:29">
      <c r="A191" s="3" t="s">
        <v>69</v>
      </c>
      <c r="B191" s="5">
        <v>45689</v>
      </c>
      <c r="C191" s="3" t="s">
        <v>15</v>
      </c>
      <c r="D191" s="4">
        <f t="shared" si="21"/>
        <v>0</v>
      </c>
      <c r="E191" s="4">
        <f t="shared" si="22"/>
        <v>0</v>
      </c>
      <c r="F191" s="4">
        <f t="shared" si="23"/>
        <v>0</v>
      </c>
      <c r="G191" s="3" t="s">
        <v>18</v>
      </c>
      <c r="H191" s="3">
        <v>55788.61</v>
      </c>
      <c r="I191" s="3">
        <v>2312</v>
      </c>
      <c r="J191" s="3">
        <v>5.8000000000000003E-2</v>
      </c>
      <c r="K191" s="3">
        <v>10</v>
      </c>
      <c r="L191" s="3">
        <v>91.3</v>
      </c>
      <c r="M191" s="3">
        <v>1.99</v>
      </c>
      <c r="N191" s="4">
        <f t="shared" si="24"/>
        <v>1.99</v>
      </c>
      <c r="O191" s="3">
        <v>0</v>
      </c>
      <c r="P191" s="3">
        <v>3.8</v>
      </c>
      <c r="Q191" s="4">
        <f t="shared" si="17"/>
        <v>3.8</v>
      </c>
      <c r="R191" s="3">
        <v>550962.93000000005</v>
      </c>
      <c r="S191" s="3">
        <v>97144.58</v>
      </c>
      <c r="X191" s="3">
        <v>55788.61</v>
      </c>
      <c r="Y191" s="3">
        <v>2312</v>
      </c>
      <c r="Z191" s="3">
        <v>91.3</v>
      </c>
      <c r="AA191" s="4">
        <f t="shared" si="18"/>
        <v>0</v>
      </c>
      <c r="AB191" s="4">
        <f t="shared" si="19"/>
        <v>0</v>
      </c>
      <c r="AC191" s="4">
        <f t="shared" si="20"/>
        <v>0</v>
      </c>
    </row>
    <row r="192" spans="1:29">
      <c r="A192" s="3" t="s">
        <v>69</v>
      </c>
      <c r="B192" s="5">
        <v>45717</v>
      </c>
      <c r="C192" s="3" t="s">
        <v>15</v>
      </c>
      <c r="D192" s="4">
        <f t="shared" si="21"/>
        <v>0</v>
      </c>
      <c r="E192" s="4">
        <f t="shared" si="22"/>
        <v>0</v>
      </c>
      <c r="F192" s="4">
        <f t="shared" si="23"/>
        <v>0</v>
      </c>
      <c r="G192" s="3" t="s">
        <v>18</v>
      </c>
      <c r="H192" s="3">
        <v>37705.879999999997</v>
      </c>
      <c r="I192" s="3">
        <v>1268</v>
      </c>
      <c r="J192" s="3">
        <v>0.25900000000000001</v>
      </c>
      <c r="K192" s="3">
        <v>9</v>
      </c>
      <c r="L192" s="3">
        <v>84.1</v>
      </c>
      <c r="M192" s="3">
        <v>4.7699999999999996</v>
      </c>
      <c r="N192" s="4">
        <f t="shared" si="24"/>
        <v>4.7699999999999996</v>
      </c>
      <c r="O192" s="3">
        <v>0</v>
      </c>
      <c r="P192" s="3">
        <v>3.8</v>
      </c>
      <c r="Q192" s="4">
        <f t="shared" si="17"/>
        <v>3.8</v>
      </c>
      <c r="R192" s="3">
        <v>443275.59</v>
      </c>
      <c r="S192" s="3">
        <v>53544.36</v>
      </c>
      <c r="X192" s="3">
        <v>37705.879999999997</v>
      </c>
      <c r="Y192" s="3">
        <v>1268</v>
      </c>
      <c r="Z192" s="3">
        <v>84.1</v>
      </c>
      <c r="AA192" s="4">
        <f t="shared" si="18"/>
        <v>0</v>
      </c>
      <c r="AB192" s="4">
        <f t="shared" si="19"/>
        <v>0</v>
      </c>
      <c r="AC192" s="4">
        <f t="shared" si="20"/>
        <v>0</v>
      </c>
    </row>
    <row r="193" spans="1:29">
      <c r="A193" s="3" t="s">
        <v>69</v>
      </c>
      <c r="B193" s="5">
        <v>45748</v>
      </c>
      <c r="C193" s="3" t="s">
        <v>15</v>
      </c>
      <c r="D193" s="4">
        <f t="shared" si="21"/>
        <v>0</v>
      </c>
      <c r="E193" s="4">
        <f t="shared" si="22"/>
        <v>0</v>
      </c>
      <c r="F193" s="4">
        <f t="shared" si="23"/>
        <v>0</v>
      </c>
      <c r="G193" s="3" t="s">
        <v>18</v>
      </c>
      <c r="H193" s="3">
        <v>54966.18</v>
      </c>
      <c r="I193" s="3">
        <v>4423</v>
      </c>
      <c r="J193" s="3">
        <v>0.186</v>
      </c>
      <c r="K193" s="3">
        <v>13</v>
      </c>
      <c r="L193" s="3">
        <v>88.7</v>
      </c>
      <c r="M193" s="3">
        <v>0.2</v>
      </c>
      <c r="N193" s="4">
        <f t="shared" si="24"/>
        <v>0.2</v>
      </c>
      <c r="O193" s="3">
        <v>0</v>
      </c>
      <c r="P193" s="3">
        <v>4.4000000000000004</v>
      </c>
      <c r="Q193" s="4">
        <f t="shared" si="17"/>
        <v>4.4000000000000004</v>
      </c>
      <c r="R193" s="3">
        <v>554012.06999999995</v>
      </c>
      <c r="S193" s="3">
        <v>81101.62</v>
      </c>
      <c r="X193" s="3">
        <v>54966.18</v>
      </c>
      <c r="Y193" s="3">
        <v>4423</v>
      </c>
      <c r="Z193" s="3">
        <v>88.7</v>
      </c>
      <c r="AA193" s="4">
        <f t="shared" si="18"/>
        <v>0</v>
      </c>
      <c r="AB193" s="4">
        <f t="shared" si="19"/>
        <v>0</v>
      </c>
      <c r="AC193" s="4">
        <f t="shared" si="20"/>
        <v>0</v>
      </c>
    </row>
    <row r="194" spans="1:29">
      <c r="A194" s="3" t="s">
        <v>70</v>
      </c>
      <c r="B194" s="5">
        <v>45658</v>
      </c>
      <c r="C194" s="3" t="s">
        <v>27</v>
      </c>
      <c r="D194" s="4">
        <f t="shared" si="21"/>
        <v>0</v>
      </c>
      <c r="E194" s="4">
        <f t="shared" si="22"/>
        <v>0</v>
      </c>
      <c r="F194" s="4">
        <f t="shared" si="23"/>
        <v>1</v>
      </c>
      <c r="G194" s="3" t="s">
        <v>16</v>
      </c>
      <c r="H194" s="3">
        <v>81796.740000000005</v>
      </c>
      <c r="I194" s="3">
        <v>6177</v>
      </c>
      <c r="J194" s="3">
        <v>0.16400000000000001</v>
      </c>
      <c r="K194" s="3">
        <v>14</v>
      </c>
      <c r="L194" s="3">
        <v>87.9</v>
      </c>
      <c r="M194" s="3">
        <v>0.53</v>
      </c>
      <c r="N194" s="4">
        <f t="shared" si="24"/>
        <v>0.53</v>
      </c>
      <c r="O194" s="3">
        <v>0</v>
      </c>
      <c r="P194" s="3">
        <v>3.2</v>
      </c>
      <c r="Q194" s="4">
        <f t="shared" ref="Q194:Q257" si="25">IF(P194="",$Q$324,P194)</f>
        <v>3.2</v>
      </c>
      <c r="R194" s="3">
        <v>643428.85</v>
      </c>
      <c r="S194" s="3">
        <v>94477.63</v>
      </c>
      <c r="X194" s="3">
        <v>81796.740000000005</v>
      </c>
      <c r="Y194" s="3">
        <v>6177</v>
      </c>
      <c r="Z194" s="3">
        <v>87.9</v>
      </c>
      <c r="AA194" s="4">
        <f t="shared" ref="AA194:AA257" si="26">IF(T194="North",1,0)</f>
        <v>0</v>
      </c>
      <c r="AB194" s="4">
        <f t="shared" ref="AB194:AB257" si="27">IF(T194="South",1,0)</f>
        <v>0</v>
      </c>
      <c r="AC194" s="4">
        <f t="shared" ref="AC194:AC257" si="28">IF(T194="West",1,0)</f>
        <v>0</v>
      </c>
    </row>
    <row r="195" spans="1:29">
      <c r="A195" s="3" t="s">
        <v>70</v>
      </c>
      <c r="B195" s="5">
        <v>45689</v>
      </c>
      <c r="C195" s="3" t="s">
        <v>27</v>
      </c>
      <c r="D195" s="4">
        <f t="shared" ref="D195:D258" si="29">IF(C195="North",1,0)</f>
        <v>0</v>
      </c>
      <c r="E195" s="4">
        <f t="shared" ref="E195:E258" si="30">IF(C195="South",1,0)</f>
        <v>0</v>
      </c>
      <c r="F195" s="4">
        <f t="shared" ref="F195:F258" si="31">IF(C195="West",1,0)</f>
        <v>1</v>
      </c>
      <c r="G195" s="3" t="s">
        <v>16</v>
      </c>
      <c r="H195" s="3">
        <v>51133.43</v>
      </c>
      <c r="I195" s="3">
        <v>5150</v>
      </c>
      <c r="J195" s="3">
        <v>0.15</v>
      </c>
      <c r="K195" s="3">
        <v>12</v>
      </c>
      <c r="L195" s="3">
        <v>88.5</v>
      </c>
      <c r="M195" s="3">
        <v>1.54</v>
      </c>
      <c r="N195" s="4">
        <f t="shared" si="24"/>
        <v>1.54</v>
      </c>
      <c r="O195" s="3">
        <v>0</v>
      </c>
      <c r="P195" s="3">
        <v>3.2</v>
      </c>
      <c r="Q195" s="4">
        <f t="shared" si="25"/>
        <v>3.2</v>
      </c>
      <c r="R195" s="3">
        <v>611924.27</v>
      </c>
      <c r="S195" s="3">
        <v>115488.75</v>
      </c>
      <c r="X195" s="3">
        <v>51133.43</v>
      </c>
      <c r="Y195" s="3">
        <v>5150</v>
      </c>
      <c r="Z195" s="3">
        <v>88.5</v>
      </c>
      <c r="AA195" s="4">
        <f t="shared" si="26"/>
        <v>0</v>
      </c>
      <c r="AB195" s="4">
        <f t="shared" si="27"/>
        <v>0</v>
      </c>
      <c r="AC195" s="4">
        <f t="shared" si="28"/>
        <v>0</v>
      </c>
    </row>
    <row r="196" spans="1:29">
      <c r="A196" s="3" t="s">
        <v>70</v>
      </c>
      <c r="B196" s="5">
        <v>45717</v>
      </c>
      <c r="C196" s="3" t="s">
        <v>27</v>
      </c>
      <c r="D196" s="4">
        <f t="shared" si="29"/>
        <v>0</v>
      </c>
      <c r="E196" s="4">
        <f t="shared" si="30"/>
        <v>0</v>
      </c>
      <c r="F196" s="4">
        <f t="shared" si="31"/>
        <v>1</v>
      </c>
      <c r="G196" s="3" t="s">
        <v>16</v>
      </c>
      <c r="H196" s="3">
        <v>40220.18</v>
      </c>
      <c r="I196" s="3">
        <v>3783</v>
      </c>
      <c r="J196" s="3">
        <v>8.8999999999999996E-2</v>
      </c>
      <c r="K196" s="3">
        <v>14</v>
      </c>
      <c r="L196" s="3">
        <v>86.6</v>
      </c>
      <c r="M196" s="3">
        <v>3.63</v>
      </c>
      <c r="N196" s="4">
        <f t="shared" si="24"/>
        <v>3.63</v>
      </c>
      <c r="O196" s="3">
        <v>0</v>
      </c>
      <c r="P196" s="3">
        <v>3.7</v>
      </c>
      <c r="Q196" s="4">
        <f t="shared" si="25"/>
        <v>3.7</v>
      </c>
      <c r="R196" s="3">
        <v>559422.02</v>
      </c>
      <c r="S196" s="3">
        <v>73528.740000000005</v>
      </c>
      <c r="X196" s="3">
        <v>40220.18</v>
      </c>
      <c r="Y196" s="3">
        <v>3783</v>
      </c>
      <c r="Z196" s="3">
        <v>86.6</v>
      </c>
      <c r="AA196" s="4">
        <f t="shared" si="26"/>
        <v>0</v>
      </c>
      <c r="AB196" s="4">
        <f t="shared" si="27"/>
        <v>0</v>
      </c>
      <c r="AC196" s="4">
        <f t="shared" si="28"/>
        <v>0</v>
      </c>
    </row>
    <row r="197" spans="1:29">
      <c r="A197" s="3" t="s">
        <v>70</v>
      </c>
      <c r="B197" s="5">
        <v>45748</v>
      </c>
      <c r="C197" s="3" t="s">
        <v>27</v>
      </c>
      <c r="D197" s="4">
        <f t="shared" si="29"/>
        <v>0</v>
      </c>
      <c r="E197" s="4">
        <f t="shared" si="30"/>
        <v>0</v>
      </c>
      <c r="F197" s="4">
        <f t="shared" si="31"/>
        <v>1</v>
      </c>
      <c r="G197" s="3" t="s">
        <v>16</v>
      </c>
      <c r="H197" s="3">
        <v>41657.64</v>
      </c>
      <c r="I197" s="3">
        <v>3135</v>
      </c>
      <c r="J197" s="3">
        <v>0.22900000000000001</v>
      </c>
      <c r="K197" s="3">
        <v>7</v>
      </c>
      <c r="L197" s="3">
        <v>85.4</v>
      </c>
      <c r="M197" s="3">
        <v>13.48</v>
      </c>
      <c r="N197" s="4">
        <f t="shared" si="24"/>
        <v>13.48</v>
      </c>
      <c r="O197" s="3">
        <v>0</v>
      </c>
      <c r="P197" s="3"/>
      <c r="Q197" s="4">
        <f t="shared" si="25"/>
        <v>3.9</v>
      </c>
      <c r="R197" s="3">
        <v>449465.06</v>
      </c>
      <c r="S197" s="3">
        <v>65694.78</v>
      </c>
      <c r="X197" s="3">
        <v>41657.64</v>
      </c>
      <c r="Y197" s="3">
        <v>3135</v>
      </c>
      <c r="Z197" s="3">
        <v>85.4</v>
      </c>
      <c r="AA197" s="4">
        <f t="shared" si="26"/>
        <v>0</v>
      </c>
      <c r="AB197" s="4">
        <f t="shared" si="27"/>
        <v>0</v>
      </c>
      <c r="AC197" s="4">
        <f t="shared" si="28"/>
        <v>0</v>
      </c>
    </row>
    <row r="198" spans="1:29">
      <c r="A198" s="3" t="s">
        <v>71</v>
      </c>
      <c r="B198" s="5">
        <v>45658</v>
      </c>
      <c r="C198" s="3" t="s">
        <v>20</v>
      </c>
      <c r="D198" s="4">
        <f t="shared" si="29"/>
        <v>1</v>
      </c>
      <c r="E198" s="4">
        <f t="shared" si="30"/>
        <v>0</v>
      </c>
      <c r="F198" s="4">
        <f t="shared" si="31"/>
        <v>0</v>
      </c>
      <c r="G198" s="3" t="s">
        <v>16</v>
      </c>
      <c r="H198" s="3">
        <v>71851.45</v>
      </c>
      <c r="I198" s="3">
        <v>4970</v>
      </c>
      <c r="J198" s="3">
        <v>9.8000000000000004E-2</v>
      </c>
      <c r="K198" s="3">
        <v>11</v>
      </c>
      <c r="L198" s="3">
        <v>89.6</v>
      </c>
      <c r="M198" s="3">
        <v>0.2</v>
      </c>
      <c r="N198" s="4">
        <f t="shared" si="24"/>
        <v>0.2</v>
      </c>
      <c r="O198" s="3">
        <v>0</v>
      </c>
      <c r="P198" s="3">
        <v>4.2</v>
      </c>
      <c r="Q198" s="4">
        <f t="shared" si="25"/>
        <v>4.2</v>
      </c>
      <c r="R198" s="3">
        <v>691447.43</v>
      </c>
      <c r="S198" s="3">
        <v>114077.69</v>
      </c>
      <c r="X198" s="3">
        <v>71851.45</v>
      </c>
      <c r="Y198" s="3">
        <v>4970</v>
      </c>
      <c r="Z198" s="3">
        <v>89.6</v>
      </c>
      <c r="AA198" s="4">
        <f t="shared" si="26"/>
        <v>0</v>
      </c>
      <c r="AB198" s="4">
        <f t="shared" si="27"/>
        <v>0</v>
      </c>
      <c r="AC198" s="4">
        <f t="shared" si="28"/>
        <v>0</v>
      </c>
    </row>
    <row r="199" spans="1:29">
      <c r="A199" s="3" t="s">
        <v>71</v>
      </c>
      <c r="B199" s="5">
        <v>45689</v>
      </c>
      <c r="C199" s="3" t="s">
        <v>20</v>
      </c>
      <c r="D199" s="4">
        <f t="shared" si="29"/>
        <v>1</v>
      </c>
      <c r="E199" s="4">
        <f t="shared" si="30"/>
        <v>0</v>
      </c>
      <c r="F199" s="4">
        <f t="shared" si="31"/>
        <v>0</v>
      </c>
      <c r="G199" s="3" t="s">
        <v>16</v>
      </c>
      <c r="H199" s="3">
        <v>54002.83</v>
      </c>
      <c r="I199" s="3">
        <v>4366</v>
      </c>
      <c r="J199" s="3">
        <v>2.7E-2</v>
      </c>
      <c r="K199" s="3">
        <v>15</v>
      </c>
      <c r="L199" s="3">
        <v>90.6</v>
      </c>
      <c r="M199" s="3">
        <v>12.82</v>
      </c>
      <c r="N199" s="4">
        <f t="shared" si="24"/>
        <v>12.82</v>
      </c>
      <c r="O199" s="3">
        <v>0</v>
      </c>
      <c r="P199" s="3">
        <v>4.5999999999999996</v>
      </c>
      <c r="Q199" s="4">
        <f t="shared" si="25"/>
        <v>4.5999999999999996</v>
      </c>
      <c r="R199" s="3">
        <v>574066.61</v>
      </c>
      <c r="S199" s="3">
        <v>124674.67</v>
      </c>
      <c r="X199" s="3">
        <v>54002.83</v>
      </c>
      <c r="Y199" s="3">
        <v>4366</v>
      </c>
      <c r="Z199" s="3">
        <v>90.6</v>
      </c>
      <c r="AA199" s="4">
        <f t="shared" si="26"/>
        <v>0</v>
      </c>
      <c r="AB199" s="4">
        <f t="shared" si="27"/>
        <v>0</v>
      </c>
      <c r="AC199" s="4">
        <f t="shared" si="28"/>
        <v>0</v>
      </c>
    </row>
    <row r="200" spans="1:29">
      <c r="A200" s="3" t="s">
        <v>71</v>
      </c>
      <c r="B200" s="5">
        <v>45717</v>
      </c>
      <c r="C200" s="3" t="s">
        <v>20</v>
      </c>
      <c r="D200" s="4">
        <f t="shared" si="29"/>
        <v>1</v>
      </c>
      <c r="E200" s="4">
        <f t="shared" si="30"/>
        <v>0</v>
      </c>
      <c r="F200" s="4">
        <f t="shared" si="31"/>
        <v>0</v>
      </c>
      <c r="G200" s="3" t="s">
        <v>16</v>
      </c>
      <c r="H200" s="3">
        <v>54479.33</v>
      </c>
      <c r="I200" s="3">
        <v>5012</v>
      </c>
      <c r="J200" s="3">
        <v>0.28399999999999997</v>
      </c>
      <c r="K200" s="3">
        <v>13</v>
      </c>
      <c r="L200" s="3">
        <v>86</v>
      </c>
      <c r="M200" s="3">
        <v>2.2400000000000002</v>
      </c>
      <c r="N200" s="4">
        <f t="shared" si="24"/>
        <v>2.2400000000000002</v>
      </c>
      <c r="O200" s="3">
        <v>1</v>
      </c>
      <c r="P200" s="3">
        <v>4.3</v>
      </c>
      <c r="Q200" s="4">
        <f t="shared" si="25"/>
        <v>4.3</v>
      </c>
      <c r="R200" s="3">
        <v>578949.84</v>
      </c>
      <c r="S200" s="3">
        <v>80253.649999999994</v>
      </c>
      <c r="X200" s="3">
        <v>54479.33</v>
      </c>
      <c r="Y200" s="3">
        <v>5012</v>
      </c>
      <c r="Z200" s="3">
        <v>86</v>
      </c>
      <c r="AA200" s="4">
        <f t="shared" si="26"/>
        <v>0</v>
      </c>
      <c r="AB200" s="4">
        <f t="shared" si="27"/>
        <v>0</v>
      </c>
      <c r="AC200" s="4">
        <f t="shared" si="28"/>
        <v>0</v>
      </c>
    </row>
    <row r="201" spans="1:29">
      <c r="A201" s="3" t="s">
        <v>71</v>
      </c>
      <c r="B201" s="5">
        <v>45748</v>
      </c>
      <c r="C201" s="3" t="s">
        <v>20</v>
      </c>
      <c r="D201" s="4">
        <f t="shared" si="29"/>
        <v>1</v>
      </c>
      <c r="E201" s="4">
        <f t="shared" si="30"/>
        <v>0</v>
      </c>
      <c r="F201" s="4">
        <f t="shared" si="31"/>
        <v>0</v>
      </c>
      <c r="G201" s="3" t="s">
        <v>16</v>
      </c>
      <c r="H201" s="3">
        <v>61391.8</v>
      </c>
      <c r="I201" s="3">
        <v>5575</v>
      </c>
      <c r="J201" s="3">
        <v>0.189</v>
      </c>
      <c r="K201" s="3">
        <v>18</v>
      </c>
      <c r="L201" s="3">
        <v>90</v>
      </c>
      <c r="M201" s="3">
        <v>1.8</v>
      </c>
      <c r="N201" s="4">
        <f t="shared" si="24"/>
        <v>1.8</v>
      </c>
      <c r="O201" s="3">
        <v>0</v>
      </c>
      <c r="P201" s="3">
        <v>4.8</v>
      </c>
      <c r="Q201" s="4">
        <f t="shared" si="25"/>
        <v>4.8</v>
      </c>
      <c r="R201" s="3">
        <v>735786.64</v>
      </c>
      <c r="S201" s="3">
        <v>126540.66</v>
      </c>
      <c r="X201" s="3">
        <v>61391.8</v>
      </c>
      <c r="Y201" s="3">
        <v>5575</v>
      </c>
      <c r="Z201" s="3">
        <v>90</v>
      </c>
      <c r="AA201" s="4">
        <f t="shared" si="26"/>
        <v>0</v>
      </c>
      <c r="AB201" s="4">
        <f t="shared" si="27"/>
        <v>0</v>
      </c>
      <c r="AC201" s="4">
        <f t="shared" si="28"/>
        <v>0</v>
      </c>
    </row>
    <row r="202" spans="1:29">
      <c r="A202" s="3" t="s">
        <v>72</v>
      </c>
      <c r="B202" s="5">
        <v>45658</v>
      </c>
      <c r="C202" s="3" t="s">
        <v>15</v>
      </c>
      <c r="D202" s="4">
        <f t="shared" si="29"/>
        <v>0</v>
      </c>
      <c r="E202" s="4">
        <f t="shared" si="30"/>
        <v>0</v>
      </c>
      <c r="F202" s="4">
        <f t="shared" si="31"/>
        <v>0</v>
      </c>
      <c r="G202" s="3" t="s">
        <v>21</v>
      </c>
      <c r="H202" s="3">
        <v>22312.93</v>
      </c>
      <c r="I202" s="3">
        <v>5955</v>
      </c>
      <c r="J202" s="3">
        <v>0.123</v>
      </c>
      <c r="K202" s="3">
        <v>13</v>
      </c>
      <c r="L202" s="3">
        <v>84.2</v>
      </c>
      <c r="M202" s="3">
        <v>0.41</v>
      </c>
      <c r="N202" s="4">
        <f t="shared" si="24"/>
        <v>0.41</v>
      </c>
      <c r="O202" s="3">
        <v>1</v>
      </c>
      <c r="P202" s="3">
        <v>4.5999999999999996</v>
      </c>
      <c r="Q202" s="4">
        <f t="shared" si="25"/>
        <v>4.5999999999999996</v>
      </c>
      <c r="R202" s="3">
        <v>598904.9</v>
      </c>
      <c r="S202" s="3">
        <v>72861</v>
      </c>
      <c r="X202" s="3">
        <v>22312.93</v>
      </c>
      <c r="Y202" s="3">
        <v>5955</v>
      </c>
      <c r="Z202" s="3">
        <v>84.2</v>
      </c>
      <c r="AA202" s="4">
        <f t="shared" si="26"/>
        <v>0</v>
      </c>
      <c r="AB202" s="4">
        <f t="shared" si="27"/>
        <v>0</v>
      </c>
      <c r="AC202" s="4">
        <f t="shared" si="28"/>
        <v>0</v>
      </c>
    </row>
    <row r="203" spans="1:29">
      <c r="A203" s="3" t="s">
        <v>72</v>
      </c>
      <c r="B203" s="5">
        <v>45689</v>
      </c>
      <c r="C203" s="3" t="s">
        <v>15</v>
      </c>
      <c r="D203" s="4">
        <f t="shared" si="29"/>
        <v>0</v>
      </c>
      <c r="E203" s="4">
        <f t="shared" si="30"/>
        <v>0</v>
      </c>
      <c r="F203" s="4">
        <f t="shared" si="31"/>
        <v>0</v>
      </c>
      <c r="G203" s="3" t="s">
        <v>21</v>
      </c>
      <c r="H203" s="3">
        <v>78111.97</v>
      </c>
      <c r="I203" s="3">
        <v>6389</v>
      </c>
      <c r="J203" s="3">
        <v>0.15</v>
      </c>
      <c r="K203" s="3">
        <v>13</v>
      </c>
      <c r="L203" s="3">
        <v>83.9</v>
      </c>
      <c r="M203" s="3">
        <v>3.05</v>
      </c>
      <c r="N203" s="4">
        <f t="shared" si="24"/>
        <v>3.05</v>
      </c>
      <c r="O203" s="3">
        <v>0</v>
      </c>
      <c r="P203" s="3">
        <v>4.8</v>
      </c>
      <c r="Q203" s="4">
        <f t="shared" si="25"/>
        <v>4.8</v>
      </c>
      <c r="R203" s="3">
        <v>787715.51</v>
      </c>
      <c r="S203" s="3">
        <v>128969.62</v>
      </c>
      <c r="X203" s="3">
        <v>78111.97</v>
      </c>
      <c r="Y203" s="3">
        <v>6389</v>
      </c>
      <c r="Z203" s="3">
        <v>83.9</v>
      </c>
      <c r="AA203" s="4">
        <f t="shared" si="26"/>
        <v>0</v>
      </c>
      <c r="AB203" s="4">
        <f t="shared" si="27"/>
        <v>0</v>
      </c>
      <c r="AC203" s="4">
        <f t="shared" si="28"/>
        <v>0</v>
      </c>
    </row>
    <row r="204" spans="1:29">
      <c r="A204" s="3" t="s">
        <v>72</v>
      </c>
      <c r="B204" s="5">
        <v>45717</v>
      </c>
      <c r="C204" s="3" t="s">
        <v>15</v>
      </c>
      <c r="D204" s="4">
        <f t="shared" si="29"/>
        <v>0</v>
      </c>
      <c r="E204" s="4">
        <f t="shared" si="30"/>
        <v>0</v>
      </c>
      <c r="F204" s="4">
        <f t="shared" si="31"/>
        <v>0</v>
      </c>
      <c r="G204" s="3" t="s">
        <v>21</v>
      </c>
      <c r="H204" s="3">
        <v>35203.230000000003</v>
      </c>
      <c r="I204" s="3">
        <v>6896</v>
      </c>
      <c r="J204" s="3">
        <v>3.2000000000000001E-2</v>
      </c>
      <c r="K204" s="3">
        <v>14</v>
      </c>
      <c r="L204" s="3">
        <v>80.8</v>
      </c>
      <c r="M204" s="3">
        <v>8.44</v>
      </c>
      <c r="N204" s="4">
        <f t="shared" si="24"/>
        <v>8.44</v>
      </c>
      <c r="O204" s="3">
        <v>1</v>
      </c>
      <c r="P204" s="3">
        <v>5</v>
      </c>
      <c r="Q204" s="4">
        <f t="shared" si="25"/>
        <v>5</v>
      </c>
      <c r="R204" s="3">
        <v>607084.92000000004</v>
      </c>
      <c r="S204" s="3">
        <v>98558.49</v>
      </c>
      <c r="X204" s="3">
        <v>35203.230000000003</v>
      </c>
      <c r="Y204" s="3">
        <v>6896</v>
      </c>
      <c r="Z204" s="3">
        <v>80.8</v>
      </c>
      <c r="AA204" s="4">
        <f t="shared" si="26"/>
        <v>0</v>
      </c>
      <c r="AB204" s="4">
        <f t="shared" si="27"/>
        <v>0</v>
      </c>
      <c r="AC204" s="4">
        <f t="shared" si="28"/>
        <v>0</v>
      </c>
    </row>
    <row r="205" spans="1:29">
      <c r="A205" s="3" t="s">
        <v>72</v>
      </c>
      <c r="B205" s="5">
        <v>45748</v>
      </c>
      <c r="C205" s="3" t="s">
        <v>15</v>
      </c>
      <c r="D205" s="4">
        <f t="shared" si="29"/>
        <v>0</v>
      </c>
      <c r="E205" s="4">
        <f t="shared" si="30"/>
        <v>0</v>
      </c>
      <c r="F205" s="4">
        <f t="shared" si="31"/>
        <v>0</v>
      </c>
      <c r="G205" s="3" t="s">
        <v>21</v>
      </c>
      <c r="H205" s="3">
        <v>64104.28</v>
      </c>
      <c r="I205" s="3">
        <v>6015</v>
      </c>
      <c r="J205" s="3">
        <v>0.127</v>
      </c>
      <c r="K205" s="3">
        <v>15</v>
      </c>
      <c r="L205" s="3">
        <v>88.7</v>
      </c>
      <c r="M205" s="3">
        <v>0.78</v>
      </c>
      <c r="N205" s="4">
        <f t="shared" si="24"/>
        <v>0.78</v>
      </c>
      <c r="O205" s="3">
        <v>0</v>
      </c>
      <c r="P205" s="3">
        <v>4</v>
      </c>
      <c r="Q205" s="4">
        <f t="shared" si="25"/>
        <v>4</v>
      </c>
      <c r="R205" s="3">
        <v>650795.49</v>
      </c>
      <c r="S205" s="3">
        <v>103035.89</v>
      </c>
      <c r="X205" s="3">
        <v>64104.28</v>
      </c>
      <c r="Y205" s="3">
        <v>6015</v>
      </c>
      <c r="Z205" s="3">
        <v>88.7</v>
      </c>
      <c r="AA205" s="4">
        <f t="shared" si="26"/>
        <v>0</v>
      </c>
      <c r="AB205" s="4">
        <f t="shared" si="27"/>
        <v>0</v>
      </c>
      <c r="AC205" s="4">
        <f t="shared" si="28"/>
        <v>0</v>
      </c>
    </row>
    <row r="206" spans="1:29">
      <c r="A206" s="3" t="s">
        <v>73</v>
      </c>
      <c r="B206" s="5">
        <v>45658</v>
      </c>
      <c r="C206" s="3" t="s">
        <v>15</v>
      </c>
      <c r="D206" s="4">
        <f t="shared" si="29"/>
        <v>0</v>
      </c>
      <c r="E206" s="4">
        <f t="shared" si="30"/>
        <v>0</v>
      </c>
      <c r="F206" s="4">
        <f t="shared" si="31"/>
        <v>0</v>
      </c>
      <c r="G206" s="3" t="s">
        <v>28</v>
      </c>
      <c r="H206" s="3">
        <v>92090.14</v>
      </c>
      <c r="I206" s="3">
        <v>9476</v>
      </c>
      <c r="J206" s="3">
        <v>7.0000000000000007E-2</v>
      </c>
      <c r="K206" s="3">
        <v>24</v>
      </c>
      <c r="L206" s="3">
        <v>94.3</v>
      </c>
      <c r="M206" s="3">
        <v>0.87</v>
      </c>
      <c r="N206" s="4">
        <f t="shared" si="24"/>
        <v>0.87</v>
      </c>
      <c r="O206" s="3">
        <v>0</v>
      </c>
      <c r="P206" s="3">
        <v>3.7</v>
      </c>
      <c r="Q206" s="4">
        <f t="shared" si="25"/>
        <v>3.7</v>
      </c>
      <c r="R206" s="3">
        <v>825060.52</v>
      </c>
      <c r="S206" s="3">
        <v>143613.15</v>
      </c>
      <c r="X206" s="3">
        <v>92090.14</v>
      </c>
      <c r="Y206" s="3">
        <v>9476</v>
      </c>
      <c r="Z206" s="3">
        <v>94.3</v>
      </c>
      <c r="AA206" s="4">
        <f t="shared" si="26"/>
        <v>0</v>
      </c>
      <c r="AB206" s="4">
        <f t="shared" si="27"/>
        <v>0</v>
      </c>
      <c r="AC206" s="4">
        <f t="shared" si="28"/>
        <v>0</v>
      </c>
    </row>
    <row r="207" spans="1:29">
      <c r="A207" s="3" t="s">
        <v>73</v>
      </c>
      <c r="B207" s="5">
        <v>45689</v>
      </c>
      <c r="C207" s="3" t="s">
        <v>15</v>
      </c>
      <c r="D207" s="4">
        <f t="shared" si="29"/>
        <v>0</v>
      </c>
      <c r="E207" s="4">
        <f t="shared" si="30"/>
        <v>0</v>
      </c>
      <c r="F207" s="4">
        <f t="shared" si="31"/>
        <v>0</v>
      </c>
      <c r="G207" s="3" t="s">
        <v>28</v>
      </c>
      <c r="H207" s="3">
        <v>54300.87</v>
      </c>
      <c r="I207" s="3">
        <v>7875</v>
      </c>
      <c r="J207" s="3">
        <v>0.107</v>
      </c>
      <c r="K207" s="3">
        <v>19</v>
      </c>
      <c r="L207" s="3">
        <v>94.1</v>
      </c>
      <c r="M207" s="3">
        <v>0.95</v>
      </c>
      <c r="N207" s="4">
        <f t="shared" si="24"/>
        <v>0.95</v>
      </c>
      <c r="O207" s="3">
        <v>0</v>
      </c>
      <c r="P207" s="3">
        <v>3.7</v>
      </c>
      <c r="Q207" s="4">
        <f t="shared" si="25"/>
        <v>3.7</v>
      </c>
      <c r="R207" s="3">
        <v>795464.47</v>
      </c>
      <c r="S207" s="3">
        <v>161150.51999999999</v>
      </c>
      <c r="X207" s="3">
        <v>54300.87</v>
      </c>
      <c r="Y207" s="3">
        <v>7875</v>
      </c>
      <c r="Z207" s="3">
        <v>94.1</v>
      </c>
      <c r="AA207" s="4">
        <f t="shared" si="26"/>
        <v>0</v>
      </c>
      <c r="AB207" s="4">
        <f t="shared" si="27"/>
        <v>0</v>
      </c>
      <c r="AC207" s="4">
        <f t="shared" si="28"/>
        <v>0</v>
      </c>
    </row>
    <row r="208" spans="1:29">
      <c r="A208" s="3" t="s">
        <v>73</v>
      </c>
      <c r="B208" s="5">
        <v>45717</v>
      </c>
      <c r="C208" s="3" t="s">
        <v>15</v>
      </c>
      <c r="D208" s="4">
        <f t="shared" si="29"/>
        <v>0</v>
      </c>
      <c r="E208" s="4">
        <f t="shared" si="30"/>
        <v>0</v>
      </c>
      <c r="F208" s="4">
        <f t="shared" si="31"/>
        <v>0</v>
      </c>
      <c r="G208" s="3" t="s">
        <v>28</v>
      </c>
      <c r="H208" s="3">
        <v>37983.35</v>
      </c>
      <c r="I208" s="3">
        <v>9283</v>
      </c>
      <c r="J208" s="3">
        <v>0.14899999999999999</v>
      </c>
      <c r="K208" s="3">
        <v>19</v>
      </c>
      <c r="L208" s="3">
        <v>83.2</v>
      </c>
      <c r="M208" s="3">
        <v>3.82</v>
      </c>
      <c r="N208" s="4">
        <f t="shared" si="24"/>
        <v>3.82</v>
      </c>
      <c r="O208" s="3">
        <v>0</v>
      </c>
      <c r="P208" s="3">
        <v>3.7</v>
      </c>
      <c r="Q208" s="4">
        <f t="shared" si="25"/>
        <v>3.7</v>
      </c>
      <c r="R208" s="3">
        <v>671868.59</v>
      </c>
      <c r="S208" s="3">
        <v>71003.28</v>
      </c>
      <c r="X208" s="3">
        <v>37983.35</v>
      </c>
      <c r="Y208" s="3">
        <v>9283</v>
      </c>
      <c r="Z208" s="3">
        <v>83.2</v>
      </c>
      <c r="AA208" s="4">
        <f t="shared" si="26"/>
        <v>0</v>
      </c>
      <c r="AB208" s="4">
        <f t="shared" si="27"/>
        <v>0</v>
      </c>
      <c r="AC208" s="4">
        <f t="shared" si="28"/>
        <v>0</v>
      </c>
    </row>
    <row r="209" spans="1:29">
      <c r="A209" s="3" t="s">
        <v>73</v>
      </c>
      <c r="B209" s="5">
        <v>45748</v>
      </c>
      <c r="C209" s="3" t="s">
        <v>15</v>
      </c>
      <c r="D209" s="4">
        <f t="shared" si="29"/>
        <v>0</v>
      </c>
      <c r="E209" s="4">
        <f t="shared" si="30"/>
        <v>0</v>
      </c>
      <c r="F209" s="4">
        <f t="shared" si="31"/>
        <v>0</v>
      </c>
      <c r="G209" s="3" t="s">
        <v>28</v>
      </c>
      <c r="H209" s="3">
        <v>56413.83</v>
      </c>
      <c r="I209" s="3">
        <v>8303</v>
      </c>
      <c r="J209" s="3">
        <v>0.11600000000000001</v>
      </c>
      <c r="K209" s="3">
        <v>18</v>
      </c>
      <c r="L209" s="3">
        <v>93.6</v>
      </c>
      <c r="M209" s="3">
        <v>2.7</v>
      </c>
      <c r="N209" s="4">
        <f t="shared" si="24"/>
        <v>2.7</v>
      </c>
      <c r="O209" s="3">
        <v>0</v>
      </c>
      <c r="P209" s="3">
        <v>3.7</v>
      </c>
      <c r="Q209" s="4">
        <f t="shared" si="25"/>
        <v>3.7</v>
      </c>
      <c r="R209" s="3">
        <v>675917.63</v>
      </c>
      <c r="S209" s="3">
        <v>112564.75</v>
      </c>
      <c r="X209" s="3">
        <v>56413.83</v>
      </c>
      <c r="Y209" s="3">
        <v>8303</v>
      </c>
      <c r="Z209" s="3">
        <v>93.6</v>
      </c>
      <c r="AA209" s="4">
        <f t="shared" si="26"/>
        <v>0</v>
      </c>
      <c r="AB209" s="4">
        <f t="shared" si="27"/>
        <v>0</v>
      </c>
      <c r="AC209" s="4">
        <f t="shared" si="28"/>
        <v>0</v>
      </c>
    </row>
    <row r="210" spans="1:29">
      <c r="A210" s="3" t="s">
        <v>74</v>
      </c>
      <c r="B210" s="5">
        <v>45658</v>
      </c>
      <c r="C210" s="3" t="s">
        <v>15</v>
      </c>
      <c r="D210" s="4">
        <f t="shared" si="29"/>
        <v>0</v>
      </c>
      <c r="E210" s="4">
        <f t="shared" si="30"/>
        <v>0</v>
      </c>
      <c r="F210" s="4">
        <f t="shared" si="31"/>
        <v>0</v>
      </c>
      <c r="G210" s="3" t="s">
        <v>18</v>
      </c>
      <c r="H210" s="3">
        <v>63457.19</v>
      </c>
      <c r="I210" s="3">
        <v>10125</v>
      </c>
      <c r="J210" s="3">
        <v>9.7000000000000003E-2</v>
      </c>
      <c r="K210" s="3">
        <v>24</v>
      </c>
      <c r="L210" s="3">
        <v>87</v>
      </c>
      <c r="M210" s="3">
        <v>3.84</v>
      </c>
      <c r="N210" s="4">
        <f t="shared" si="24"/>
        <v>3.84</v>
      </c>
      <c r="O210" s="3">
        <v>1</v>
      </c>
      <c r="P210" s="3">
        <v>3.7</v>
      </c>
      <c r="Q210" s="4">
        <f t="shared" si="25"/>
        <v>3.7</v>
      </c>
      <c r="R210" s="3">
        <v>810446.53</v>
      </c>
      <c r="S210" s="3">
        <v>200575.34</v>
      </c>
      <c r="X210" s="3">
        <v>63457.19</v>
      </c>
      <c r="Y210" s="3">
        <v>10125</v>
      </c>
      <c r="Z210" s="3">
        <v>87</v>
      </c>
      <c r="AA210" s="4">
        <f t="shared" si="26"/>
        <v>0</v>
      </c>
      <c r="AB210" s="4">
        <f t="shared" si="27"/>
        <v>0</v>
      </c>
      <c r="AC210" s="4">
        <f t="shared" si="28"/>
        <v>0</v>
      </c>
    </row>
    <row r="211" spans="1:29">
      <c r="A211" s="3" t="s">
        <v>74</v>
      </c>
      <c r="B211" s="5">
        <v>45689</v>
      </c>
      <c r="C211" s="3" t="s">
        <v>15</v>
      </c>
      <c r="D211" s="4">
        <f t="shared" si="29"/>
        <v>0</v>
      </c>
      <c r="E211" s="4">
        <f t="shared" si="30"/>
        <v>0</v>
      </c>
      <c r="F211" s="4">
        <f t="shared" si="31"/>
        <v>0</v>
      </c>
      <c r="G211" s="3" t="s">
        <v>18</v>
      </c>
      <c r="H211" s="3">
        <v>62949.7</v>
      </c>
      <c r="I211" s="3">
        <v>9458</v>
      </c>
      <c r="J211" s="3">
        <v>0.17100000000000001</v>
      </c>
      <c r="K211" s="3">
        <v>19</v>
      </c>
      <c r="L211" s="3">
        <v>84.9</v>
      </c>
      <c r="M211" s="3">
        <v>5.09</v>
      </c>
      <c r="N211" s="4">
        <f t="shared" si="24"/>
        <v>5.09</v>
      </c>
      <c r="O211" s="3">
        <v>0</v>
      </c>
      <c r="P211" s="3">
        <v>3.3</v>
      </c>
      <c r="Q211" s="4">
        <f t="shared" si="25"/>
        <v>3.3</v>
      </c>
      <c r="R211" s="3">
        <v>691288.19</v>
      </c>
      <c r="S211" s="3">
        <v>159074.14000000001</v>
      </c>
      <c r="X211" s="3">
        <v>62949.7</v>
      </c>
      <c r="Y211" s="3">
        <v>9458</v>
      </c>
      <c r="Z211" s="3">
        <v>84.9</v>
      </c>
      <c r="AA211" s="4">
        <f t="shared" si="26"/>
        <v>0</v>
      </c>
      <c r="AB211" s="4">
        <f t="shared" si="27"/>
        <v>0</v>
      </c>
      <c r="AC211" s="4">
        <f t="shared" si="28"/>
        <v>0</v>
      </c>
    </row>
    <row r="212" spans="1:29">
      <c r="A212" s="3" t="s">
        <v>74</v>
      </c>
      <c r="B212" s="5">
        <v>45717</v>
      </c>
      <c r="C212" s="3" t="s">
        <v>15</v>
      </c>
      <c r="D212" s="4">
        <f t="shared" si="29"/>
        <v>0</v>
      </c>
      <c r="E212" s="4">
        <f t="shared" si="30"/>
        <v>0</v>
      </c>
      <c r="F212" s="4">
        <f t="shared" si="31"/>
        <v>0</v>
      </c>
      <c r="G212" s="3" t="s">
        <v>18</v>
      </c>
      <c r="H212" s="3">
        <v>107970.19</v>
      </c>
      <c r="I212" s="3">
        <v>12870</v>
      </c>
      <c r="J212" s="3">
        <v>2.9000000000000001E-2</v>
      </c>
      <c r="K212" s="3">
        <v>31</v>
      </c>
      <c r="L212" s="3">
        <v>91.7</v>
      </c>
      <c r="M212" s="3">
        <v>3.82</v>
      </c>
      <c r="N212" s="4">
        <f t="shared" si="24"/>
        <v>3.82</v>
      </c>
      <c r="O212" s="3">
        <v>1</v>
      </c>
      <c r="P212" s="3">
        <v>3.7</v>
      </c>
      <c r="Q212" s="4">
        <f t="shared" si="25"/>
        <v>3.7</v>
      </c>
      <c r="R212" s="3">
        <v>946833.54</v>
      </c>
      <c r="S212" s="3">
        <v>184540.31</v>
      </c>
      <c r="X212" s="3">
        <v>107970.19</v>
      </c>
      <c r="Y212" s="3">
        <v>12870</v>
      </c>
      <c r="Z212" s="3">
        <v>91.7</v>
      </c>
      <c r="AA212" s="4">
        <f t="shared" si="26"/>
        <v>0</v>
      </c>
      <c r="AB212" s="4">
        <f t="shared" si="27"/>
        <v>0</v>
      </c>
      <c r="AC212" s="4">
        <f t="shared" si="28"/>
        <v>0</v>
      </c>
    </row>
    <row r="213" spans="1:29">
      <c r="A213" s="3" t="s">
        <v>74</v>
      </c>
      <c r="B213" s="5">
        <v>45748</v>
      </c>
      <c r="C213" s="3" t="s">
        <v>15</v>
      </c>
      <c r="D213" s="4">
        <f t="shared" si="29"/>
        <v>0</v>
      </c>
      <c r="E213" s="4">
        <f t="shared" si="30"/>
        <v>0</v>
      </c>
      <c r="F213" s="4">
        <f t="shared" si="31"/>
        <v>0</v>
      </c>
      <c r="G213" s="3" t="s">
        <v>18</v>
      </c>
      <c r="H213" s="3">
        <v>49405.75</v>
      </c>
      <c r="I213" s="3">
        <v>9752</v>
      </c>
      <c r="J213" s="3">
        <v>9.2999999999999999E-2</v>
      </c>
      <c r="K213" s="3">
        <v>21</v>
      </c>
      <c r="L213" s="3">
        <v>87</v>
      </c>
      <c r="M213" s="3">
        <v>12.28</v>
      </c>
      <c r="N213" s="4">
        <f t="shared" si="24"/>
        <v>12.28</v>
      </c>
      <c r="O213" s="3">
        <v>0</v>
      </c>
      <c r="P213" s="3">
        <v>4.0999999999999996</v>
      </c>
      <c r="Q213" s="4">
        <f t="shared" si="25"/>
        <v>4.0999999999999996</v>
      </c>
      <c r="R213" s="3">
        <v>761963.23</v>
      </c>
      <c r="S213" s="3">
        <v>150113.60999999999</v>
      </c>
      <c r="X213" s="3">
        <v>49405.75</v>
      </c>
      <c r="Y213" s="3">
        <v>9752</v>
      </c>
      <c r="Z213" s="3">
        <v>87</v>
      </c>
      <c r="AA213" s="4">
        <f t="shared" si="26"/>
        <v>0</v>
      </c>
      <c r="AB213" s="4">
        <f t="shared" si="27"/>
        <v>0</v>
      </c>
      <c r="AC213" s="4">
        <f t="shared" si="28"/>
        <v>0</v>
      </c>
    </row>
    <row r="214" spans="1:29">
      <c r="A214" s="3" t="s">
        <v>75</v>
      </c>
      <c r="B214" s="5">
        <v>45658</v>
      </c>
      <c r="C214" s="3" t="s">
        <v>27</v>
      </c>
      <c r="D214" s="4">
        <f t="shared" si="29"/>
        <v>0</v>
      </c>
      <c r="E214" s="4">
        <f t="shared" si="30"/>
        <v>0</v>
      </c>
      <c r="F214" s="4">
        <f t="shared" si="31"/>
        <v>1</v>
      </c>
      <c r="G214" s="3" t="s">
        <v>16</v>
      </c>
      <c r="H214" s="3">
        <v>50887.46</v>
      </c>
      <c r="I214" s="3">
        <v>9505</v>
      </c>
      <c r="J214" s="3">
        <v>9.0999999999999998E-2</v>
      </c>
      <c r="K214" s="3">
        <v>25</v>
      </c>
      <c r="L214" s="3">
        <v>89.7</v>
      </c>
      <c r="M214" s="3">
        <v>2.8</v>
      </c>
      <c r="N214" s="4">
        <f t="shared" si="24"/>
        <v>2.8</v>
      </c>
      <c r="O214" s="3">
        <v>0</v>
      </c>
      <c r="P214" s="3">
        <v>4.3</v>
      </c>
      <c r="Q214" s="4">
        <f t="shared" si="25"/>
        <v>4.3</v>
      </c>
      <c r="R214" s="3">
        <v>812152.6</v>
      </c>
      <c r="S214" s="3">
        <v>138419.43</v>
      </c>
      <c r="X214" s="3">
        <v>50887.46</v>
      </c>
      <c r="Y214" s="3">
        <v>9505</v>
      </c>
      <c r="Z214" s="3">
        <v>89.7</v>
      </c>
      <c r="AA214" s="4">
        <f t="shared" si="26"/>
        <v>0</v>
      </c>
      <c r="AB214" s="4">
        <f t="shared" si="27"/>
        <v>0</v>
      </c>
      <c r="AC214" s="4">
        <f t="shared" si="28"/>
        <v>0</v>
      </c>
    </row>
    <row r="215" spans="1:29">
      <c r="A215" s="3" t="s">
        <v>75</v>
      </c>
      <c r="B215" s="5">
        <v>45689</v>
      </c>
      <c r="C215" s="3" t="s">
        <v>27</v>
      </c>
      <c r="D215" s="4">
        <f t="shared" si="29"/>
        <v>0</v>
      </c>
      <c r="E215" s="4">
        <f t="shared" si="30"/>
        <v>0</v>
      </c>
      <c r="F215" s="4">
        <f t="shared" si="31"/>
        <v>1</v>
      </c>
      <c r="G215" s="3" t="s">
        <v>16</v>
      </c>
      <c r="H215" s="3">
        <v>41819.449999999997</v>
      </c>
      <c r="I215" s="3">
        <v>9412</v>
      </c>
      <c r="J215" s="3">
        <v>0.15</v>
      </c>
      <c r="K215" s="3">
        <v>22</v>
      </c>
      <c r="L215" s="3">
        <v>91</v>
      </c>
      <c r="M215" s="3">
        <v>3.67</v>
      </c>
      <c r="N215" s="4">
        <f t="shared" si="24"/>
        <v>3.67</v>
      </c>
      <c r="O215" s="3">
        <v>0</v>
      </c>
      <c r="P215" s="3">
        <v>4.2</v>
      </c>
      <c r="Q215" s="4">
        <f t="shared" si="25"/>
        <v>4.2</v>
      </c>
      <c r="R215" s="3">
        <v>804975.5</v>
      </c>
      <c r="S215" s="3">
        <v>140054.5</v>
      </c>
      <c r="X215" s="3">
        <v>41819.449999999997</v>
      </c>
      <c r="Y215" s="3">
        <v>9412</v>
      </c>
      <c r="Z215" s="3">
        <v>91</v>
      </c>
      <c r="AA215" s="4">
        <f t="shared" si="26"/>
        <v>0</v>
      </c>
      <c r="AB215" s="4">
        <f t="shared" si="27"/>
        <v>0</v>
      </c>
      <c r="AC215" s="4">
        <f t="shared" si="28"/>
        <v>0</v>
      </c>
    </row>
    <row r="216" spans="1:29">
      <c r="A216" s="3" t="s">
        <v>75</v>
      </c>
      <c r="B216" s="5">
        <v>45717</v>
      </c>
      <c r="C216" s="3" t="s">
        <v>27</v>
      </c>
      <c r="D216" s="4">
        <f t="shared" si="29"/>
        <v>0</v>
      </c>
      <c r="E216" s="4">
        <f t="shared" si="30"/>
        <v>0</v>
      </c>
      <c r="F216" s="4">
        <f t="shared" si="31"/>
        <v>1</v>
      </c>
      <c r="G216" s="3" t="s">
        <v>16</v>
      </c>
      <c r="H216" s="3">
        <v>35296.54</v>
      </c>
      <c r="I216" s="3">
        <v>9644</v>
      </c>
      <c r="J216" s="3">
        <v>0</v>
      </c>
      <c r="K216" s="3">
        <v>22</v>
      </c>
      <c r="L216" s="3">
        <v>88</v>
      </c>
      <c r="M216" s="3">
        <v>2.81</v>
      </c>
      <c r="N216" s="4">
        <f t="shared" si="24"/>
        <v>2.81</v>
      </c>
      <c r="O216" s="3">
        <v>0</v>
      </c>
      <c r="P216" s="3">
        <v>4.7</v>
      </c>
      <c r="Q216" s="4">
        <f t="shared" si="25"/>
        <v>4.7</v>
      </c>
      <c r="R216" s="3">
        <v>752321.72</v>
      </c>
      <c r="S216" s="3">
        <v>137788.51</v>
      </c>
      <c r="X216" s="3">
        <v>35296.54</v>
      </c>
      <c r="Y216" s="3">
        <v>9644</v>
      </c>
      <c r="Z216" s="3">
        <v>88</v>
      </c>
      <c r="AA216" s="4">
        <f t="shared" si="26"/>
        <v>0</v>
      </c>
      <c r="AB216" s="4">
        <f t="shared" si="27"/>
        <v>0</v>
      </c>
      <c r="AC216" s="4">
        <f t="shared" si="28"/>
        <v>0</v>
      </c>
    </row>
    <row r="217" spans="1:29">
      <c r="A217" s="3" t="s">
        <v>75</v>
      </c>
      <c r="B217" s="5">
        <v>45748</v>
      </c>
      <c r="C217" s="3" t="s">
        <v>27</v>
      </c>
      <c r="D217" s="4">
        <f t="shared" si="29"/>
        <v>0</v>
      </c>
      <c r="E217" s="4">
        <f t="shared" si="30"/>
        <v>0</v>
      </c>
      <c r="F217" s="4">
        <f t="shared" si="31"/>
        <v>1</v>
      </c>
      <c r="G217" s="3" t="s">
        <v>16</v>
      </c>
      <c r="H217" s="3">
        <v>47391.09</v>
      </c>
      <c r="I217" s="3">
        <v>11224</v>
      </c>
      <c r="J217" s="3">
        <v>0.14699999999999999</v>
      </c>
      <c r="K217" s="3">
        <v>25</v>
      </c>
      <c r="L217" s="3">
        <v>88.4</v>
      </c>
      <c r="M217" s="3">
        <v>2.44</v>
      </c>
      <c r="N217" s="4">
        <f t="shared" si="24"/>
        <v>2.44</v>
      </c>
      <c r="O217" s="3">
        <v>0</v>
      </c>
      <c r="P217" s="3">
        <v>4.9000000000000004</v>
      </c>
      <c r="Q217" s="4">
        <f t="shared" si="25"/>
        <v>4.9000000000000004</v>
      </c>
      <c r="R217" s="3">
        <v>836908.24</v>
      </c>
      <c r="S217" s="3">
        <v>141090.26</v>
      </c>
      <c r="X217" s="3">
        <v>47391.09</v>
      </c>
      <c r="Y217" s="3">
        <v>11224</v>
      </c>
      <c r="Z217" s="3">
        <v>88.4</v>
      </c>
      <c r="AA217" s="4">
        <f t="shared" si="26"/>
        <v>0</v>
      </c>
      <c r="AB217" s="4">
        <f t="shared" si="27"/>
        <v>0</v>
      </c>
      <c r="AC217" s="4">
        <f t="shared" si="28"/>
        <v>0</v>
      </c>
    </row>
    <row r="218" spans="1:29">
      <c r="A218" s="3" t="s">
        <v>76</v>
      </c>
      <c r="B218" s="5">
        <v>45658</v>
      </c>
      <c r="C218" s="3" t="s">
        <v>20</v>
      </c>
      <c r="D218" s="4">
        <f t="shared" si="29"/>
        <v>1</v>
      </c>
      <c r="E218" s="4">
        <f t="shared" si="30"/>
        <v>0</v>
      </c>
      <c r="F218" s="4">
        <f t="shared" si="31"/>
        <v>0</v>
      </c>
      <c r="G218" s="3" t="s">
        <v>21</v>
      </c>
      <c r="H218" s="3">
        <v>69180.539999999994</v>
      </c>
      <c r="I218" s="3">
        <v>5394</v>
      </c>
      <c r="J218" s="3">
        <v>0.126</v>
      </c>
      <c r="K218" s="3">
        <v>12</v>
      </c>
      <c r="L218" s="3">
        <v>82.9</v>
      </c>
      <c r="M218" s="3">
        <v>3.27</v>
      </c>
      <c r="N218" s="4">
        <f t="shared" si="24"/>
        <v>3.27</v>
      </c>
      <c r="O218" s="3">
        <v>0</v>
      </c>
      <c r="P218" s="3">
        <v>3.3</v>
      </c>
      <c r="Q218" s="4">
        <f t="shared" si="25"/>
        <v>3.3</v>
      </c>
      <c r="R218" s="3">
        <v>674289.1</v>
      </c>
      <c r="S218" s="3">
        <v>117773.79</v>
      </c>
      <c r="X218" s="3">
        <v>69180.539999999994</v>
      </c>
      <c r="Y218" s="3">
        <v>5394</v>
      </c>
      <c r="Z218" s="3">
        <v>82.9</v>
      </c>
      <c r="AA218" s="4">
        <f t="shared" si="26"/>
        <v>0</v>
      </c>
      <c r="AB218" s="4">
        <f t="shared" si="27"/>
        <v>0</v>
      </c>
      <c r="AC218" s="4">
        <f t="shared" si="28"/>
        <v>0</v>
      </c>
    </row>
    <row r="219" spans="1:29">
      <c r="A219" s="3" t="s">
        <v>76</v>
      </c>
      <c r="B219" s="5">
        <v>45689</v>
      </c>
      <c r="C219" s="3" t="s">
        <v>20</v>
      </c>
      <c r="D219" s="4">
        <f t="shared" si="29"/>
        <v>1</v>
      </c>
      <c r="E219" s="4">
        <f t="shared" si="30"/>
        <v>0</v>
      </c>
      <c r="F219" s="4">
        <f t="shared" si="31"/>
        <v>0</v>
      </c>
      <c r="G219" s="3" t="s">
        <v>21</v>
      </c>
      <c r="H219" s="3">
        <v>33987.33</v>
      </c>
      <c r="I219" s="3">
        <v>5014</v>
      </c>
      <c r="J219" s="3">
        <v>0.246</v>
      </c>
      <c r="K219" s="3">
        <v>17</v>
      </c>
      <c r="L219" s="3">
        <v>94.3</v>
      </c>
      <c r="M219" s="3">
        <v>10.34</v>
      </c>
      <c r="N219" s="4">
        <f t="shared" si="24"/>
        <v>10.34</v>
      </c>
      <c r="O219" s="3">
        <v>0</v>
      </c>
      <c r="P219" s="3">
        <v>3.9</v>
      </c>
      <c r="Q219" s="4">
        <f t="shared" si="25"/>
        <v>3.9</v>
      </c>
      <c r="R219" s="3">
        <v>622892.42000000004</v>
      </c>
      <c r="S219" s="3">
        <v>101032.52</v>
      </c>
      <c r="X219" s="3">
        <v>33987.33</v>
      </c>
      <c r="Y219" s="3">
        <v>5014</v>
      </c>
      <c r="Z219" s="3">
        <v>94.3</v>
      </c>
      <c r="AA219" s="4">
        <f t="shared" si="26"/>
        <v>0</v>
      </c>
      <c r="AB219" s="4">
        <f t="shared" si="27"/>
        <v>0</v>
      </c>
      <c r="AC219" s="4">
        <f t="shared" si="28"/>
        <v>0</v>
      </c>
    </row>
    <row r="220" spans="1:29">
      <c r="A220" s="3" t="s">
        <v>76</v>
      </c>
      <c r="B220" s="5">
        <v>45717</v>
      </c>
      <c r="C220" s="3" t="s">
        <v>20</v>
      </c>
      <c r="D220" s="4">
        <f t="shared" si="29"/>
        <v>1</v>
      </c>
      <c r="E220" s="4">
        <f t="shared" si="30"/>
        <v>0</v>
      </c>
      <c r="F220" s="4">
        <f t="shared" si="31"/>
        <v>0</v>
      </c>
      <c r="G220" s="3" t="s">
        <v>21</v>
      </c>
      <c r="H220" s="3">
        <v>58785.33</v>
      </c>
      <c r="I220" s="3">
        <v>4467</v>
      </c>
      <c r="J220" s="3">
        <v>0.22900000000000001</v>
      </c>
      <c r="K220" s="3">
        <v>14</v>
      </c>
      <c r="L220" s="3">
        <v>90.7</v>
      </c>
      <c r="M220" s="3">
        <v>1.92</v>
      </c>
      <c r="N220" s="4">
        <f t="shared" si="24"/>
        <v>1.92</v>
      </c>
      <c r="O220" s="3">
        <v>0</v>
      </c>
      <c r="P220" s="3">
        <v>3.7</v>
      </c>
      <c r="Q220" s="4">
        <f t="shared" si="25"/>
        <v>3.7</v>
      </c>
      <c r="R220" s="3">
        <v>673348.56</v>
      </c>
      <c r="S220" s="3">
        <v>69464.59</v>
      </c>
      <c r="X220" s="3">
        <v>58785.33</v>
      </c>
      <c r="Y220" s="3">
        <v>4467</v>
      </c>
      <c r="Z220" s="3">
        <v>90.7</v>
      </c>
      <c r="AA220" s="4">
        <f t="shared" si="26"/>
        <v>0</v>
      </c>
      <c r="AB220" s="4">
        <f t="shared" si="27"/>
        <v>0</v>
      </c>
      <c r="AC220" s="4">
        <f t="shared" si="28"/>
        <v>0</v>
      </c>
    </row>
    <row r="221" spans="1:29">
      <c r="A221" s="3" t="s">
        <v>76</v>
      </c>
      <c r="B221" s="5">
        <v>45748</v>
      </c>
      <c r="C221" s="3" t="s">
        <v>20</v>
      </c>
      <c r="D221" s="4">
        <f t="shared" si="29"/>
        <v>1</v>
      </c>
      <c r="E221" s="4">
        <f t="shared" si="30"/>
        <v>0</v>
      </c>
      <c r="F221" s="4">
        <f t="shared" si="31"/>
        <v>0</v>
      </c>
      <c r="G221" s="3" t="s">
        <v>21</v>
      </c>
      <c r="H221" s="3">
        <v>16451.849999999999</v>
      </c>
      <c r="I221" s="3">
        <v>4678</v>
      </c>
      <c r="J221" s="3">
        <v>0.13300000000000001</v>
      </c>
      <c r="K221" s="3">
        <v>11</v>
      </c>
      <c r="L221" s="3">
        <v>95.9</v>
      </c>
      <c r="M221" s="3">
        <v>3.1</v>
      </c>
      <c r="N221" s="4">
        <f t="shared" si="24"/>
        <v>3.1</v>
      </c>
      <c r="O221" s="3">
        <v>0</v>
      </c>
      <c r="P221" s="3">
        <v>3.9</v>
      </c>
      <c r="Q221" s="4">
        <f t="shared" si="25"/>
        <v>3.9</v>
      </c>
      <c r="R221" s="3">
        <v>606278.30000000005</v>
      </c>
      <c r="S221" s="3">
        <v>102213.26</v>
      </c>
      <c r="X221" s="3">
        <v>16451.849999999999</v>
      </c>
      <c r="Y221" s="3">
        <v>4678</v>
      </c>
      <c r="Z221" s="3">
        <v>95.9</v>
      </c>
      <c r="AA221" s="4">
        <f t="shared" si="26"/>
        <v>0</v>
      </c>
      <c r="AB221" s="4">
        <f t="shared" si="27"/>
        <v>0</v>
      </c>
      <c r="AC221" s="4">
        <f t="shared" si="28"/>
        <v>0</v>
      </c>
    </row>
    <row r="222" spans="1:29">
      <c r="A222" s="3" t="s">
        <v>77</v>
      </c>
      <c r="B222" s="5">
        <v>45658</v>
      </c>
      <c r="C222" s="3" t="s">
        <v>15</v>
      </c>
      <c r="D222" s="4">
        <f t="shared" si="29"/>
        <v>0</v>
      </c>
      <c r="E222" s="4">
        <f t="shared" si="30"/>
        <v>0</v>
      </c>
      <c r="F222" s="4">
        <f t="shared" si="31"/>
        <v>0</v>
      </c>
      <c r="G222" s="3" t="s">
        <v>18</v>
      </c>
      <c r="H222" s="3">
        <v>53367.73</v>
      </c>
      <c r="I222" s="3">
        <v>7291</v>
      </c>
      <c r="J222" s="3">
        <v>0.14599999999999999</v>
      </c>
      <c r="K222" s="3">
        <v>18</v>
      </c>
      <c r="L222" s="3">
        <v>90.6</v>
      </c>
      <c r="M222" s="3">
        <v>6.34</v>
      </c>
      <c r="N222" s="4">
        <f t="shared" si="24"/>
        <v>6.34</v>
      </c>
      <c r="O222" s="3">
        <v>1</v>
      </c>
      <c r="P222" s="3">
        <v>3.8</v>
      </c>
      <c r="Q222" s="4">
        <f t="shared" si="25"/>
        <v>3.8</v>
      </c>
      <c r="R222" s="3">
        <v>712219.81</v>
      </c>
      <c r="S222" s="3">
        <v>85906.54</v>
      </c>
      <c r="X222" s="3">
        <v>53367.73</v>
      </c>
      <c r="Y222" s="3">
        <v>7291</v>
      </c>
      <c r="Z222" s="3">
        <v>90.6</v>
      </c>
      <c r="AA222" s="4">
        <f t="shared" si="26"/>
        <v>0</v>
      </c>
      <c r="AB222" s="4">
        <f t="shared" si="27"/>
        <v>0</v>
      </c>
      <c r="AC222" s="4">
        <f t="shared" si="28"/>
        <v>0</v>
      </c>
    </row>
    <row r="223" spans="1:29">
      <c r="A223" s="3" t="s">
        <v>77</v>
      </c>
      <c r="B223" s="5">
        <v>45689</v>
      </c>
      <c r="C223" s="3" t="s">
        <v>15</v>
      </c>
      <c r="D223" s="4">
        <f t="shared" si="29"/>
        <v>0</v>
      </c>
      <c r="E223" s="4">
        <f t="shared" si="30"/>
        <v>0</v>
      </c>
      <c r="F223" s="4">
        <f t="shared" si="31"/>
        <v>0</v>
      </c>
      <c r="G223" s="3" t="s">
        <v>18</v>
      </c>
      <c r="H223" s="3">
        <v>27194.639999999999</v>
      </c>
      <c r="I223" s="3">
        <v>7404</v>
      </c>
      <c r="J223" s="3">
        <v>8.7999999999999995E-2</v>
      </c>
      <c r="K223" s="3">
        <v>18</v>
      </c>
      <c r="L223" s="3">
        <v>90.2</v>
      </c>
      <c r="M223" s="3">
        <v>1.2</v>
      </c>
      <c r="N223" s="4">
        <f t="shared" si="24"/>
        <v>1.2</v>
      </c>
      <c r="O223" s="3">
        <v>0</v>
      </c>
      <c r="P223" s="3">
        <v>3.4</v>
      </c>
      <c r="Q223" s="4">
        <f t="shared" si="25"/>
        <v>3.4</v>
      </c>
      <c r="R223" s="3">
        <v>672670.54</v>
      </c>
      <c r="S223" s="3">
        <v>132684.18</v>
      </c>
      <c r="X223" s="3">
        <v>27194.639999999999</v>
      </c>
      <c r="Y223" s="3">
        <v>7404</v>
      </c>
      <c r="Z223" s="3">
        <v>90.2</v>
      </c>
      <c r="AA223" s="4">
        <f t="shared" si="26"/>
        <v>0</v>
      </c>
      <c r="AB223" s="4">
        <f t="shared" si="27"/>
        <v>0</v>
      </c>
      <c r="AC223" s="4">
        <f t="shared" si="28"/>
        <v>0</v>
      </c>
    </row>
    <row r="224" spans="1:29">
      <c r="A224" s="3" t="s">
        <v>77</v>
      </c>
      <c r="B224" s="5">
        <v>45717</v>
      </c>
      <c r="C224" s="3" t="s">
        <v>15</v>
      </c>
      <c r="D224" s="4">
        <f t="shared" si="29"/>
        <v>0</v>
      </c>
      <c r="E224" s="4">
        <f t="shared" si="30"/>
        <v>0</v>
      </c>
      <c r="F224" s="4">
        <f t="shared" si="31"/>
        <v>0</v>
      </c>
      <c r="G224" s="3" t="s">
        <v>18</v>
      </c>
      <c r="H224" s="3">
        <v>66962.740000000005</v>
      </c>
      <c r="I224" s="3">
        <v>7880</v>
      </c>
      <c r="J224" s="3">
        <v>0.11600000000000001</v>
      </c>
      <c r="K224" s="3">
        <v>19</v>
      </c>
      <c r="L224" s="3">
        <v>90.4</v>
      </c>
      <c r="M224" s="3">
        <v>4.5</v>
      </c>
      <c r="N224" s="4">
        <f t="shared" si="24"/>
        <v>4.5</v>
      </c>
      <c r="O224" s="3">
        <v>0</v>
      </c>
      <c r="P224" s="3">
        <v>3.3</v>
      </c>
      <c r="Q224" s="4">
        <f t="shared" si="25"/>
        <v>3.3</v>
      </c>
      <c r="R224" s="3">
        <v>732667.92</v>
      </c>
      <c r="S224" s="3">
        <v>128654.46</v>
      </c>
      <c r="X224" s="3">
        <v>66962.740000000005</v>
      </c>
      <c r="Y224" s="3">
        <v>7880</v>
      </c>
      <c r="Z224" s="3">
        <v>90.4</v>
      </c>
      <c r="AA224" s="4">
        <f t="shared" si="26"/>
        <v>0</v>
      </c>
      <c r="AB224" s="4">
        <f t="shared" si="27"/>
        <v>0</v>
      </c>
      <c r="AC224" s="4">
        <f t="shared" si="28"/>
        <v>0</v>
      </c>
    </row>
    <row r="225" spans="1:29">
      <c r="A225" s="3" t="s">
        <v>77</v>
      </c>
      <c r="B225" s="5">
        <v>45748</v>
      </c>
      <c r="C225" s="3" t="s">
        <v>15</v>
      </c>
      <c r="D225" s="4">
        <f t="shared" si="29"/>
        <v>0</v>
      </c>
      <c r="E225" s="4">
        <f t="shared" si="30"/>
        <v>0</v>
      </c>
      <c r="F225" s="4">
        <f t="shared" si="31"/>
        <v>0</v>
      </c>
      <c r="G225" s="3" t="s">
        <v>18</v>
      </c>
      <c r="H225" s="3">
        <v>73540.990000000005</v>
      </c>
      <c r="I225" s="3">
        <v>8773</v>
      </c>
      <c r="J225" s="3">
        <v>3.5000000000000003E-2</v>
      </c>
      <c r="K225" s="3">
        <v>21</v>
      </c>
      <c r="L225" s="3">
        <v>84.4</v>
      </c>
      <c r="M225" s="3">
        <v>6.68</v>
      </c>
      <c r="N225" s="4">
        <f t="shared" si="24"/>
        <v>6.68</v>
      </c>
      <c r="O225" s="3">
        <v>0</v>
      </c>
      <c r="P225" s="3">
        <v>3.6</v>
      </c>
      <c r="Q225" s="4">
        <f t="shared" si="25"/>
        <v>3.6</v>
      </c>
      <c r="R225" s="3">
        <v>723531.4</v>
      </c>
      <c r="S225" s="3">
        <v>108794.85</v>
      </c>
      <c r="X225" s="3">
        <v>73540.990000000005</v>
      </c>
      <c r="Y225" s="3">
        <v>8773</v>
      </c>
      <c r="Z225" s="3">
        <v>84.4</v>
      </c>
      <c r="AA225" s="4">
        <f t="shared" si="26"/>
        <v>0</v>
      </c>
      <c r="AB225" s="4">
        <f t="shared" si="27"/>
        <v>0</v>
      </c>
      <c r="AC225" s="4">
        <f t="shared" si="28"/>
        <v>0</v>
      </c>
    </row>
    <row r="226" spans="1:29">
      <c r="A226" s="3" t="s">
        <v>78</v>
      </c>
      <c r="B226" s="5">
        <v>45658</v>
      </c>
      <c r="C226" s="3" t="s">
        <v>15</v>
      </c>
      <c r="D226" s="4">
        <f t="shared" si="29"/>
        <v>0</v>
      </c>
      <c r="E226" s="4">
        <f t="shared" si="30"/>
        <v>0</v>
      </c>
      <c r="F226" s="4">
        <f t="shared" si="31"/>
        <v>0</v>
      </c>
      <c r="G226" s="3" t="s">
        <v>28</v>
      </c>
      <c r="H226" s="3">
        <v>68212.289999999994</v>
      </c>
      <c r="I226" s="3">
        <v>4713</v>
      </c>
      <c r="J226" s="3">
        <v>0.19800000000000001</v>
      </c>
      <c r="K226" s="3">
        <v>15</v>
      </c>
      <c r="L226" s="3">
        <v>82.6</v>
      </c>
      <c r="M226" s="3">
        <v>4.07</v>
      </c>
      <c r="N226" s="4">
        <f t="shared" si="24"/>
        <v>4.07</v>
      </c>
      <c r="O226" s="3">
        <v>1</v>
      </c>
      <c r="P226" s="3">
        <v>3</v>
      </c>
      <c r="Q226" s="4">
        <f t="shared" si="25"/>
        <v>3</v>
      </c>
      <c r="R226" s="3">
        <v>641564.6</v>
      </c>
      <c r="S226" s="3">
        <v>90468.96</v>
      </c>
      <c r="X226" s="3">
        <v>68212.289999999994</v>
      </c>
      <c r="Y226" s="3">
        <v>4713</v>
      </c>
      <c r="Z226" s="3">
        <v>82.6</v>
      </c>
      <c r="AA226" s="4">
        <f t="shared" si="26"/>
        <v>0</v>
      </c>
      <c r="AB226" s="4">
        <f t="shared" si="27"/>
        <v>0</v>
      </c>
      <c r="AC226" s="4">
        <f t="shared" si="28"/>
        <v>0</v>
      </c>
    </row>
    <row r="227" spans="1:29">
      <c r="A227" s="3" t="s">
        <v>78</v>
      </c>
      <c r="B227" s="5">
        <v>45689</v>
      </c>
      <c r="C227" s="3" t="s">
        <v>15</v>
      </c>
      <c r="D227" s="4">
        <f t="shared" si="29"/>
        <v>0</v>
      </c>
      <c r="E227" s="4">
        <f t="shared" si="30"/>
        <v>0</v>
      </c>
      <c r="F227" s="4">
        <f t="shared" si="31"/>
        <v>0</v>
      </c>
      <c r="G227" s="3" t="s">
        <v>28</v>
      </c>
      <c r="H227" s="3">
        <v>57225.98</v>
      </c>
      <c r="I227" s="3">
        <v>2842</v>
      </c>
      <c r="J227" s="3">
        <v>0.112</v>
      </c>
      <c r="K227" s="3">
        <v>10</v>
      </c>
      <c r="L227" s="3">
        <v>79.5</v>
      </c>
      <c r="M227" s="3">
        <v>5.45</v>
      </c>
      <c r="N227" s="4">
        <f t="shared" si="24"/>
        <v>5.45</v>
      </c>
      <c r="O227" s="3">
        <v>0</v>
      </c>
      <c r="P227" s="3">
        <v>3.4</v>
      </c>
      <c r="Q227" s="4">
        <f t="shared" si="25"/>
        <v>3.4</v>
      </c>
      <c r="R227" s="3">
        <v>536545.49</v>
      </c>
      <c r="S227" s="3">
        <v>97917.45</v>
      </c>
      <c r="X227" s="3">
        <v>57225.98</v>
      </c>
      <c r="Y227" s="3">
        <v>2842</v>
      </c>
      <c r="Z227" s="3">
        <v>79.5</v>
      </c>
      <c r="AA227" s="4">
        <f t="shared" si="26"/>
        <v>0</v>
      </c>
      <c r="AB227" s="4">
        <f t="shared" si="27"/>
        <v>0</v>
      </c>
      <c r="AC227" s="4">
        <f t="shared" si="28"/>
        <v>0</v>
      </c>
    </row>
    <row r="228" spans="1:29">
      <c r="A228" s="3" t="s">
        <v>78</v>
      </c>
      <c r="B228" s="5">
        <v>45717</v>
      </c>
      <c r="C228" s="3" t="s">
        <v>15</v>
      </c>
      <c r="D228" s="4">
        <f t="shared" si="29"/>
        <v>0</v>
      </c>
      <c r="E228" s="4">
        <f t="shared" si="30"/>
        <v>0</v>
      </c>
      <c r="F228" s="4">
        <f t="shared" si="31"/>
        <v>0</v>
      </c>
      <c r="G228" s="3" t="s">
        <v>28</v>
      </c>
      <c r="H228" s="3">
        <v>42932.02</v>
      </c>
      <c r="I228" s="3">
        <v>3872</v>
      </c>
      <c r="J228" s="3">
        <v>0.17100000000000001</v>
      </c>
      <c r="K228" s="3">
        <v>12</v>
      </c>
      <c r="L228" s="3">
        <v>83.2</v>
      </c>
      <c r="M228" s="3">
        <v>15.58</v>
      </c>
      <c r="N228" s="4">
        <f t="shared" si="24"/>
        <v>15.58</v>
      </c>
      <c r="O228" s="3">
        <v>0</v>
      </c>
      <c r="P228" s="3">
        <v>3.3</v>
      </c>
      <c r="Q228" s="4">
        <f t="shared" si="25"/>
        <v>3.3</v>
      </c>
      <c r="R228" s="3">
        <v>527681.56000000006</v>
      </c>
      <c r="S228" s="3">
        <v>63153.05</v>
      </c>
      <c r="X228" s="3">
        <v>42932.02</v>
      </c>
      <c r="Y228" s="3">
        <v>3872</v>
      </c>
      <c r="Z228" s="3">
        <v>83.2</v>
      </c>
      <c r="AA228" s="4">
        <f t="shared" si="26"/>
        <v>0</v>
      </c>
      <c r="AB228" s="4">
        <f t="shared" si="27"/>
        <v>0</v>
      </c>
      <c r="AC228" s="4">
        <f t="shared" si="28"/>
        <v>0</v>
      </c>
    </row>
    <row r="229" spans="1:29">
      <c r="A229" s="3" t="s">
        <v>78</v>
      </c>
      <c r="B229" s="5">
        <v>45748</v>
      </c>
      <c r="C229" s="3" t="s">
        <v>15</v>
      </c>
      <c r="D229" s="4">
        <f t="shared" si="29"/>
        <v>0</v>
      </c>
      <c r="E229" s="4">
        <f t="shared" si="30"/>
        <v>0</v>
      </c>
      <c r="F229" s="4">
        <f t="shared" si="31"/>
        <v>0</v>
      </c>
      <c r="G229" s="3" t="s">
        <v>28</v>
      </c>
      <c r="H229" s="3">
        <v>39341.449999999997</v>
      </c>
      <c r="I229" s="3">
        <v>1375</v>
      </c>
      <c r="J229" s="3">
        <v>9.2999999999999999E-2</v>
      </c>
      <c r="K229" s="3">
        <v>5</v>
      </c>
      <c r="L229" s="3">
        <v>95</v>
      </c>
      <c r="M229" s="3">
        <v>5.32</v>
      </c>
      <c r="N229" s="4">
        <f t="shared" si="24"/>
        <v>5.32</v>
      </c>
      <c r="O229" s="3">
        <v>0</v>
      </c>
      <c r="P229" s="3"/>
      <c r="Q229" s="4">
        <f t="shared" si="25"/>
        <v>3.9</v>
      </c>
      <c r="R229" s="3">
        <v>529598.93999999994</v>
      </c>
      <c r="S229" s="3">
        <v>84334.33</v>
      </c>
      <c r="X229" s="3">
        <v>39341.449999999997</v>
      </c>
      <c r="Y229" s="3">
        <v>1375</v>
      </c>
      <c r="Z229" s="3">
        <v>95</v>
      </c>
      <c r="AA229" s="4">
        <f t="shared" si="26"/>
        <v>0</v>
      </c>
      <c r="AB229" s="4">
        <f t="shared" si="27"/>
        <v>0</v>
      </c>
      <c r="AC229" s="4">
        <f t="shared" si="28"/>
        <v>0</v>
      </c>
    </row>
    <row r="230" spans="1:29">
      <c r="A230" s="3" t="s">
        <v>79</v>
      </c>
      <c r="B230" s="5">
        <v>45658</v>
      </c>
      <c r="C230" s="3" t="s">
        <v>15</v>
      </c>
      <c r="D230" s="4">
        <f t="shared" si="29"/>
        <v>0</v>
      </c>
      <c r="E230" s="4">
        <f t="shared" si="30"/>
        <v>0</v>
      </c>
      <c r="F230" s="4">
        <f t="shared" si="31"/>
        <v>0</v>
      </c>
      <c r="G230" s="3" t="s">
        <v>18</v>
      </c>
      <c r="H230" s="3">
        <v>37324.230000000003</v>
      </c>
      <c r="I230" s="3">
        <v>5957</v>
      </c>
      <c r="J230" s="3">
        <v>7.0999999999999994E-2</v>
      </c>
      <c r="K230" s="3">
        <v>12</v>
      </c>
      <c r="L230" s="3">
        <v>85.9</v>
      </c>
      <c r="M230" s="3">
        <v>0.37</v>
      </c>
      <c r="N230" s="4">
        <f t="shared" si="24"/>
        <v>0.37</v>
      </c>
      <c r="O230" s="3">
        <v>0</v>
      </c>
      <c r="P230" s="3">
        <v>3.8</v>
      </c>
      <c r="Q230" s="4">
        <f t="shared" si="25"/>
        <v>3.8</v>
      </c>
      <c r="R230" s="3">
        <v>570963.31000000006</v>
      </c>
      <c r="S230" s="3">
        <v>87342.25</v>
      </c>
      <c r="X230" s="3">
        <v>37324.230000000003</v>
      </c>
      <c r="Y230" s="3">
        <v>5957</v>
      </c>
      <c r="Z230" s="3">
        <v>85.9</v>
      </c>
      <c r="AA230" s="4">
        <f t="shared" si="26"/>
        <v>0</v>
      </c>
      <c r="AB230" s="4">
        <f t="shared" si="27"/>
        <v>0</v>
      </c>
      <c r="AC230" s="4">
        <f t="shared" si="28"/>
        <v>0</v>
      </c>
    </row>
    <row r="231" spans="1:29">
      <c r="A231" s="3" t="s">
        <v>79</v>
      </c>
      <c r="B231" s="5">
        <v>45689</v>
      </c>
      <c r="C231" s="3" t="s">
        <v>15</v>
      </c>
      <c r="D231" s="4">
        <f t="shared" si="29"/>
        <v>0</v>
      </c>
      <c r="E231" s="4">
        <f t="shared" si="30"/>
        <v>0</v>
      </c>
      <c r="F231" s="4">
        <f t="shared" si="31"/>
        <v>0</v>
      </c>
      <c r="G231" s="3" t="s">
        <v>18</v>
      </c>
      <c r="H231" s="3">
        <v>113736</v>
      </c>
      <c r="I231" s="3">
        <v>8961</v>
      </c>
      <c r="J231" s="3">
        <v>0.20200000000000001</v>
      </c>
      <c r="K231" s="3">
        <v>24</v>
      </c>
      <c r="L231" s="3">
        <v>86.2</v>
      </c>
      <c r="M231" s="3">
        <v>21.63</v>
      </c>
      <c r="N231" s="4">
        <f t="shared" si="24"/>
        <v>21.63</v>
      </c>
      <c r="O231" s="3">
        <v>0</v>
      </c>
      <c r="P231" s="3">
        <v>4</v>
      </c>
      <c r="Q231" s="4">
        <f t="shared" si="25"/>
        <v>4</v>
      </c>
      <c r="R231" s="3">
        <v>870937.4</v>
      </c>
      <c r="S231" s="3">
        <v>175282.74</v>
      </c>
      <c r="X231" s="3">
        <v>113736</v>
      </c>
      <c r="Y231" s="3">
        <v>8961</v>
      </c>
      <c r="Z231" s="3">
        <v>86.2</v>
      </c>
      <c r="AA231" s="4">
        <f t="shared" si="26"/>
        <v>0</v>
      </c>
      <c r="AB231" s="4">
        <f t="shared" si="27"/>
        <v>0</v>
      </c>
      <c r="AC231" s="4">
        <f t="shared" si="28"/>
        <v>0</v>
      </c>
    </row>
    <row r="232" spans="1:29">
      <c r="A232" s="3" t="s">
        <v>79</v>
      </c>
      <c r="B232" s="5">
        <v>45717</v>
      </c>
      <c r="C232" s="3" t="s">
        <v>15</v>
      </c>
      <c r="D232" s="4">
        <f t="shared" si="29"/>
        <v>0</v>
      </c>
      <c r="E232" s="4">
        <f t="shared" si="30"/>
        <v>0</v>
      </c>
      <c r="F232" s="4">
        <f t="shared" si="31"/>
        <v>0</v>
      </c>
      <c r="G232" s="3" t="s">
        <v>18</v>
      </c>
      <c r="H232" s="3">
        <v>33173.949999999997</v>
      </c>
      <c r="I232" s="3">
        <v>6545</v>
      </c>
      <c r="J232" s="3">
        <v>0.16900000000000001</v>
      </c>
      <c r="K232" s="3">
        <v>15</v>
      </c>
      <c r="L232" s="3">
        <v>84.4</v>
      </c>
      <c r="M232" s="3">
        <v>2.48</v>
      </c>
      <c r="N232" s="4">
        <f t="shared" si="24"/>
        <v>2.48</v>
      </c>
      <c r="O232" s="3">
        <v>0</v>
      </c>
      <c r="P232" s="3">
        <v>3.9</v>
      </c>
      <c r="Q232" s="4">
        <f t="shared" si="25"/>
        <v>3.9</v>
      </c>
      <c r="R232" s="3">
        <v>596969.27</v>
      </c>
      <c r="S232" s="3">
        <v>105669.51</v>
      </c>
      <c r="X232" s="3">
        <v>33173.949999999997</v>
      </c>
      <c r="Y232" s="3">
        <v>6545</v>
      </c>
      <c r="Z232" s="3">
        <v>84.4</v>
      </c>
      <c r="AA232" s="4">
        <f t="shared" si="26"/>
        <v>0</v>
      </c>
      <c r="AB232" s="4">
        <f t="shared" si="27"/>
        <v>0</v>
      </c>
      <c r="AC232" s="4">
        <f t="shared" si="28"/>
        <v>0</v>
      </c>
    </row>
    <row r="233" spans="1:29">
      <c r="A233" s="3" t="s">
        <v>79</v>
      </c>
      <c r="B233" s="5">
        <v>45748</v>
      </c>
      <c r="C233" s="3" t="s">
        <v>15</v>
      </c>
      <c r="D233" s="4">
        <f t="shared" si="29"/>
        <v>0</v>
      </c>
      <c r="E233" s="4">
        <f t="shared" si="30"/>
        <v>0</v>
      </c>
      <c r="F233" s="4">
        <f t="shared" si="31"/>
        <v>0</v>
      </c>
      <c r="G233" s="3" t="s">
        <v>18</v>
      </c>
      <c r="H233" s="3">
        <v>25818.080000000002</v>
      </c>
      <c r="I233" s="3">
        <v>5457</v>
      </c>
      <c r="J233" s="3">
        <v>0</v>
      </c>
      <c r="K233" s="3">
        <v>11</v>
      </c>
      <c r="L233" s="3">
        <v>95.4</v>
      </c>
      <c r="M233" s="3"/>
      <c r="N233" s="4">
        <f t="shared" si="24"/>
        <v>3.3650000000000002</v>
      </c>
      <c r="O233" s="3">
        <v>0</v>
      </c>
      <c r="P233" s="3">
        <v>3.7</v>
      </c>
      <c r="Q233" s="4">
        <f t="shared" si="25"/>
        <v>3.7</v>
      </c>
      <c r="R233" s="3">
        <v>647512.85</v>
      </c>
      <c r="S233" s="3">
        <v>153835.57</v>
      </c>
      <c r="X233" s="3">
        <v>25818.080000000002</v>
      </c>
      <c r="Y233" s="3">
        <v>5457</v>
      </c>
      <c r="Z233" s="3">
        <v>95.4</v>
      </c>
      <c r="AA233" s="4">
        <f t="shared" si="26"/>
        <v>0</v>
      </c>
      <c r="AB233" s="4">
        <f t="shared" si="27"/>
        <v>0</v>
      </c>
      <c r="AC233" s="4">
        <f t="shared" si="28"/>
        <v>0</v>
      </c>
    </row>
    <row r="234" spans="1:29">
      <c r="A234" s="3" t="s">
        <v>80</v>
      </c>
      <c r="B234" s="5">
        <v>45658</v>
      </c>
      <c r="C234" s="3" t="s">
        <v>27</v>
      </c>
      <c r="D234" s="4">
        <f t="shared" si="29"/>
        <v>0</v>
      </c>
      <c r="E234" s="4">
        <f t="shared" si="30"/>
        <v>0</v>
      </c>
      <c r="F234" s="4">
        <f t="shared" si="31"/>
        <v>1</v>
      </c>
      <c r="G234" s="3" t="s">
        <v>16</v>
      </c>
      <c r="H234" s="3">
        <v>47241.919999999998</v>
      </c>
      <c r="I234" s="3">
        <v>4264</v>
      </c>
      <c r="J234" s="3">
        <v>6.9000000000000006E-2</v>
      </c>
      <c r="K234" s="3">
        <v>13</v>
      </c>
      <c r="L234" s="3">
        <v>95.3</v>
      </c>
      <c r="M234" s="3">
        <v>0.85</v>
      </c>
      <c r="N234" s="4">
        <f t="shared" si="24"/>
        <v>0.85</v>
      </c>
      <c r="O234" s="3">
        <v>0</v>
      </c>
      <c r="P234" s="3">
        <v>4.3</v>
      </c>
      <c r="Q234" s="4">
        <f t="shared" si="25"/>
        <v>4.3</v>
      </c>
      <c r="R234" s="3">
        <v>658072.14</v>
      </c>
      <c r="S234" s="3">
        <v>110595.89</v>
      </c>
      <c r="X234" s="3">
        <v>47241.919999999998</v>
      </c>
      <c r="Y234" s="3">
        <v>4264</v>
      </c>
      <c r="Z234" s="3">
        <v>95.3</v>
      </c>
      <c r="AA234" s="4">
        <f t="shared" si="26"/>
        <v>0</v>
      </c>
      <c r="AB234" s="4">
        <f t="shared" si="27"/>
        <v>0</v>
      </c>
      <c r="AC234" s="4">
        <f t="shared" si="28"/>
        <v>0</v>
      </c>
    </row>
    <row r="235" spans="1:29">
      <c r="A235" s="3" t="s">
        <v>80</v>
      </c>
      <c r="B235" s="5">
        <v>45689</v>
      </c>
      <c r="C235" s="3" t="s">
        <v>27</v>
      </c>
      <c r="D235" s="4">
        <f t="shared" si="29"/>
        <v>0</v>
      </c>
      <c r="E235" s="4">
        <f t="shared" si="30"/>
        <v>0</v>
      </c>
      <c r="F235" s="4">
        <f t="shared" si="31"/>
        <v>1</v>
      </c>
      <c r="G235" s="3" t="s">
        <v>16</v>
      </c>
      <c r="H235" s="3">
        <v>61650.79</v>
      </c>
      <c r="I235" s="3">
        <v>5321</v>
      </c>
      <c r="J235" s="3">
        <v>0.126</v>
      </c>
      <c r="K235" s="3">
        <v>17</v>
      </c>
      <c r="L235" s="3">
        <v>89.2</v>
      </c>
      <c r="M235" s="3">
        <v>2.13</v>
      </c>
      <c r="N235" s="4">
        <f t="shared" ref="N235:N298" si="32">IF(M235="",MEDIAN($M$2:$M$321),M235)</f>
        <v>2.13</v>
      </c>
      <c r="O235" s="3">
        <v>0</v>
      </c>
      <c r="P235" s="3">
        <v>4</v>
      </c>
      <c r="Q235" s="4">
        <f t="shared" si="25"/>
        <v>4</v>
      </c>
      <c r="R235" s="3">
        <v>723305.11</v>
      </c>
      <c r="S235" s="3">
        <v>128468.7</v>
      </c>
      <c r="X235" s="3">
        <v>61650.79</v>
      </c>
      <c r="Y235" s="3">
        <v>5321</v>
      </c>
      <c r="Z235" s="3">
        <v>89.2</v>
      </c>
      <c r="AA235" s="4">
        <f t="shared" si="26"/>
        <v>0</v>
      </c>
      <c r="AB235" s="4">
        <f t="shared" si="27"/>
        <v>0</v>
      </c>
      <c r="AC235" s="4">
        <f t="shared" si="28"/>
        <v>0</v>
      </c>
    </row>
    <row r="236" spans="1:29">
      <c r="A236" s="3" t="s">
        <v>80</v>
      </c>
      <c r="B236" s="5">
        <v>45717</v>
      </c>
      <c r="C236" s="3" t="s">
        <v>27</v>
      </c>
      <c r="D236" s="4">
        <f t="shared" si="29"/>
        <v>0</v>
      </c>
      <c r="E236" s="4">
        <f t="shared" si="30"/>
        <v>0</v>
      </c>
      <c r="F236" s="4">
        <f t="shared" si="31"/>
        <v>1</v>
      </c>
      <c r="G236" s="3" t="s">
        <v>16</v>
      </c>
      <c r="H236" s="3">
        <v>62582.71</v>
      </c>
      <c r="I236" s="3">
        <v>5479</v>
      </c>
      <c r="J236" s="3">
        <v>4.8000000000000001E-2</v>
      </c>
      <c r="K236" s="3">
        <v>16</v>
      </c>
      <c r="L236" s="3">
        <v>81.2</v>
      </c>
      <c r="M236" s="3">
        <v>1.46</v>
      </c>
      <c r="N236" s="4">
        <f t="shared" si="32"/>
        <v>1.46</v>
      </c>
      <c r="O236" s="3">
        <v>0</v>
      </c>
      <c r="P236" s="3">
        <v>4.5</v>
      </c>
      <c r="Q236" s="4">
        <f t="shared" si="25"/>
        <v>4.5</v>
      </c>
      <c r="R236" s="3">
        <v>640666.53</v>
      </c>
      <c r="S236" s="3">
        <v>134919.16</v>
      </c>
      <c r="X236" s="3">
        <v>62582.71</v>
      </c>
      <c r="Y236" s="3">
        <v>5479</v>
      </c>
      <c r="Z236" s="3">
        <v>81.2</v>
      </c>
      <c r="AA236" s="4">
        <f t="shared" si="26"/>
        <v>0</v>
      </c>
      <c r="AB236" s="4">
        <f t="shared" si="27"/>
        <v>0</v>
      </c>
      <c r="AC236" s="4">
        <f t="shared" si="28"/>
        <v>0</v>
      </c>
    </row>
    <row r="237" spans="1:29">
      <c r="A237" s="3" t="s">
        <v>80</v>
      </c>
      <c r="B237" s="5">
        <v>45748</v>
      </c>
      <c r="C237" s="3" t="s">
        <v>27</v>
      </c>
      <c r="D237" s="4">
        <f t="shared" si="29"/>
        <v>0</v>
      </c>
      <c r="E237" s="4">
        <f t="shared" si="30"/>
        <v>0</v>
      </c>
      <c r="F237" s="4">
        <f t="shared" si="31"/>
        <v>1</v>
      </c>
      <c r="G237" s="3" t="s">
        <v>16</v>
      </c>
      <c r="H237" s="3">
        <v>47944.14</v>
      </c>
      <c r="I237" s="3">
        <v>6169</v>
      </c>
      <c r="J237" s="3">
        <v>0.11899999999999999</v>
      </c>
      <c r="K237" s="3">
        <v>17</v>
      </c>
      <c r="L237" s="3">
        <v>92.2</v>
      </c>
      <c r="M237" s="3">
        <v>3.02</v>
      </c>
      <c r="N237" s="4">
        <f t="shared" si="32"/>
        <v>3.02</v>
      </c>
      <c r="O237" s="3">
        <v>0</v>
      </c>
      <c r="P237" s="3">
        <v>4.0999999999999996</v>
      </c>
      <c r="Q237" s="4">
        <f t="shared" si="25"/>
        <v>4.0999999999999996</v>
      </c>
      <c r="R237" s="3">
        <v>670629.48</v>
      </c>
      <c r="S237" s="3">
        <v>100140.8</v>
      </c>
      <c r="X237" s="3">
        <v>47944.14</v>
      </c>
      <c r="Y237" s="3">
        <v>6169</v>
      </c>
      <c r="Z237" s="3">
        <v>92.2</v>
      </c>
      <c r="AA237" s="4">
        <f t="shared" si="26"/>
        <v>0</v>
      </c>
      <c r="AB237" s="4">
        <f t="shared" si="27"/>
        <v>0</v>
      </c>
      <c r="AC237" s="4">
        <f t="shared" si="28"/>
        <v>0</v>
      </c>
    </row>
    <row r="238" spans="1:29">
      <c r="A238" s="3" t="s">
        <v>81</v>
      </c>
      <c r="B238" s="5">
        <v>45658</v>
      </c>
      <c r="C238" s="3" t="s">
        <v>27</v>
      </c>
      <c r="D238" s="4">
        <f t="shared" si="29"/>
        <v>0</v>
      </c>
      <c r="E238" s="4">
        <f t="shared" si="30"/>
        <v>0</v>
      </c>
      <c r="F238" s="4">
        <f t="shared" si="31"/>
        <v>1</v>
      </c>
      <c r="G238" s="3" t="s">
        <v>28</v>
      </c>
      <c r="H238" s="3">
        <v>46495.4</v>
      </c>
      <c r="I238" s="3">
        <v>9908</v>
      </c>
      <c r="J238" s="3">
        <v>0.121</v>
      </c>
      <c r="K238" s="3">
        <v>22</v>
      </c>
      <c r="L238" s="3">
        <v>89.4</v>
      </c>
      <c r="M238" s="3">
        <v>3.22</v>
      </c>
      <c r="N238" s="4">
        <f t="shared" si="32"/>
        <v>3.22</v>
      </c>
      <c r="O238" s="3">
        <v>0</v>
      </c>
      <c r="P238" s="3">
        <v>3.7</v>
      </c>
      <c r="Q238" s="4">
        <f t="shared" si="25"/>
        <v>3.7</v>
      </c>
      <c r="R238" s="3">
        <v>721079.35</v>
      </c>
      <c r="S238" s="3">
        <v>115295.05</v>
      </c>
      <c r="X238" s="3">
        <v>46495.4</v>
      </c>
      <c r="Y238" s="3">
        <v>9908</v>
      </c>
      <c r="Z238" s="3">
        <v>89.4</v>
      </c>
      <c r="AA238" s="4">
        <f t="shared" si="26"/>
        <v>0</v>
      </c>
      <c r="AB238" s="4">
        <f t="shared" si="27"/>
        <v>0</v>
      </c>
      <c r="AC238" s="4">
        <f t="shared" si="28"/>
        <v>0</v>
      </c>
    </row>
    <row r="239" spans="1:29">
      <c r="A239" s="3" t="s">
        <v>81</v>
      </c>
      <c r="B239" s="5">
        <v>45689</v>
      </c>
      <c r="C239" s="3" t="s">
        <v>27</v>
      </c>
      <c r="D239" s="4">
        <f t="shared" si="29"/>
        <v>0</v>
      </c>
      <c r="E239" s="4">
        <f t="shared" si="30"/>
        <v>0</v>
      </c>
      <c r="F239" s="4">
        <f t="shared" si="31"/>
        <v>1</v>
      </c>
      <c r="G239" s="3" t="s">
        <v>28</v>
      </c>
      <c r="H239" s="3">
        <v>72961.95</v>
      </c>
      <c r="I239" s="3">
        <v>9996</v>
      </c>
      <c r="J239" s="3">
        <v>0.106</v>
      </c>
      <c r="K239" s="3">
        <v>22</v>
      </c>
      <c r="L239" s="3">
        <v>89.1</v>
      </c>
      <c r="M239" s="3">
        <v>15.66</v>
      </c>
      <c r="N239" s="4">
        <f t="shared" si="32"/>
        <v>15.66</v>
      </c>
      <c r="O239" s="3">
        <v>0</v>
      </c>
      <c r="P239" s="3">
        <v>3.4</v>
      </c>
      <c r="Q239" s="4">
        <f t="shared" si="25"/>
        <v>3.4</v>
      </c>
      <c r="R239" s="3">
        <v>810355.02</v>
      </c>
      <c r="S239" s="3">
        <v>131510</v>
      </c>
      <c r="X239" s="3">
        <v>72961.95</v>
      </c>
      <c r="Y239" s="3">
        <v>9996</v>
      </c>
      <c r="Z239" s="3">
        <v>89.1</v>
      </c>
      <c r="AA239" s="4">
        <f t="shared" si="26"/>
        <v>0</v>
      </c>
      <c r="AB239" s="4">
        <f t="shared" si="27"/>
        <v>0</v>
      </c>
      <c r="AC239" s="4">
        <f t="shared" si="28"/>
        <v>0</v>
      </c>
    </row>
    <row r="240" spans="1:29">
      <c r="A240" s="3" t="s">
        <v>81</v>
      </c>
      <c r="B240" s="5">
        <v>45717</v>
      </c>
      <c r="C240" s="3" t="s">
        <v>27</v>
      </c>
      <c r="D240" s="4">
        <f t="shared" si="29"/>
        <v>0</v>
      </c>
      <c r="E240" s="4">
        <f t="shared" si="30"/>
        <v>0</v>
      </c>
      <c r="F240" s="4">
        <f t="shared" si="31"/>
        <v>1</v>
      </c>
      <c r="G240" s="3" t="s">
        <v>28</v>
      </c>
      <c r="H240" s="3">
        <v>59060.05</v>
      </c>
      <c r="I240" s="3">
        <v>9702</v>
      </c>
      <c r="J240" s="3">
        <v>0.20100000000000001</v>
      </c>
      <c r="K240" s="3">
        <v>23</v>
      </c>
      <c r="L240" s="3">
        <v>80.900000000000006</v>
      </c>
      <c r="M240" s="3">
        <v>6.96</v>
      </c>
      <c r="N240" s="4">
        <f t="shared" si="32"/>
        <v>6.96</v>
      </c>
      <c r="O240" s="3">
        <v>0</v>
      </c>
      <c r="P240" s="3">
        <v>3.2</v>
      </c>
      <c r="Q240" s="4">
        <f t="shared" si="25"/>
        <v>3.2</v>
      </c>
      <c r="R240" s="3">
        <v>761919.25</v>
      </c>
      <c r="S240" s="3">
        <v>111893.06</v>
      </c>
      <c r="X240" s="3">
        <v>59060.05</v>
      </c>
      <c r="Y240" s="3">
        <v>9702</v>
      </c>
      <c r="Z240" s="3">
        <v>80.900000000000006</v>
      </c>
      <c r="AA240" s="4">
        <f t="shared" si="26"/>
        <v>0</v>
      </c>
      <c r="AB240" s="4">
        <f t="shared" si="27"/>
        <v>0</v>
      </c>
      <c r="AC240" s="4">
        <f t="shared" si="28"/>
        <v>0</v>
      </c>
    </row>
    <row r="241" spans="1:29">
      <c r="A241" s="3" t="s">
        <v>81</v>
      </c>
      <c r="B241" s="5">
        <v>45748</v>
      </c>
      <c r="C241" s="3" t="s">
        <v>27</v>
      </c>
      <c r="D241" s="4">
        <f t="shared" si="29"/>
        <v>0</v>
      </c>
      <c r="E241" s="4">
        <f t="shared" si="30"/>
        <v>0</v>
      </c>
      <c r="F241" s="4">
        <f t="shared" si="31"/>
        <v>1</v>
      </c>
      <c r="G241" s="3" t="s">
        <v>28</v>
      </c>
      <c r="H241" s="3">
        <v>26248.1</v>
      </c>
      <c r="I241" s="3">
        <v>9314</v>
      </c>
      <c r="J241" s="3">
        <v>0.186</v>
      </c>
      <c r="K241" s="3">
        <v>21</v>
      </c>
      <c r="L241" s="3">
        <v>83.7</v>
      </c>
      <c r="M241" s="3">
        <v>4.62</v>
      </c>
      <c r="N241" s="4">
        <f t="shared" si="32"/>
        <v>4.62</v>
      </c>
      <c r="O241" s="3">
        <v>0</v>
      </c>
      <c r="P241" s="3">
        <v>3.3</v>
      </c>
      <c r="Q241" s="4">
        <f t="shared" si="25"/>
        <v>3.3</v>
      </c>
      <c r="R241" s="3">
        <v>737070.18</v>
      </c>
      <c r="S241" s="3">
        <v>117593.97</v>
      </c>
      <c r="X241" s="3">
        <v>26248.1</v>
      </c>
      <c r="Y241" s="3">
        <v>9314</v>
      </c>
      <c r="Z241" s="3">
        <v>83.7</v>
      </c>
      <c r="AA241" s="4">
        <f t="shared" si="26"/>
        <v>0</v>
      </c>
      <c r="AB241" s="4">
        <f t="shared" si="27"/>
        <v>0</v>
      </c>
      <c r="AC241" s="4">
        <f t="shared" si="28"/>
        <v>0</v>
      </c>
    </row>
    <row r="242" spans="1:29">
      <c r="A242" s="3" t="s">
        <v>82</v>
      </c>
      <c r="B242" s="5">
        <v>45658</v>
      </c>
      <c r="C242" s="3" t="s">
        <v>24</v>
      </c>
      <c r="D242" s="4">
        <f t="shared" si="29"/>
        <v>0</v>
      </c>
      <c r="E242" s="4">
        <f t="shared" si="30"/>
        <v>1</v>
      </c>
      <c r="F242" s="4">
        <f t="shared" si="31"/>
        <v>0</v>
      </c>
      <c r="G242" s="3" t="s">
        <v>21</v>
      </c>
      <c r="H242" s="3">
        <v>69900.12</v>
      </c>
      <c r="I242" s="3">
        <v>8055</v>
      </c>
      <c r="J242" s="3">
        <v>0.28100000000000003</v>
      </c>
      <c r="K242" s="3">
        <v>22</v>
      </c>
      <c r="L242" s="3">
        <v>85.6</v>
      </c>
      <c r="M242" s="3">
        <v>10.68</v>
      </c>
      <c r="N242" s="4">
        <f t="shared" si="32"/>
        <v>10.68</v>
      </c>
      <c r="O242" s="3">
        <v>1</v>
      </c>
      <c r="P242" s="3">
        <v>2.9</v>
      </c>
      <c r="Q242" s="4">
        <f t="shared" si="25"/>
        <v>2.9</v>
      </c>
      <c r="R242" s="3">
        <v>776992.93</v>
      </c>
      <c r="S242" s="3">
        <v>101598.32</v>
      </c>
      <c r="X242" s="3">
        <v>69900.12</v>
      </c>
      <c r="Y242" s="3">
        <v>8055</v>
      </c>
      <c r="Z242" s="3">
        <v>85.6</v>
      </c>
      <c r="AA242" s="4">
        <f t="shared" si="26"/>
        <v>0</v>
      </c>
      <c r="AB242" s="4">
        <f t="shared" si="27"/>
        <v>0</v>
      </c>
      <c r="AC242" s="4">
        <f t="shared" si="28"/>
        <v>0</v>
      </c>
    </row>
    <row r="243" spans="1:29">
      <c r="A243" s="3" t="s">
        <v>82</v>
      </c>
      <c r="B243" s="5">
        <v>45689</v>
      </c>
      <c r="C243" s="3" t="s">
        <v>24</v>
      </c>
      <c r="D243" s="4">
        <f t="shared" si="29"/>
        <v>0</v>
      </c>
      <c r="E243" s="4">
        <f t="shared" si="30"/>
        <v>1</v>
      </c>
      <c r="F243" s="4">
        <f t="shared" si="31"/>
        <v>0</v>
      </c>
      <c r="G243" s="3" t="s">
        <v>21</v>
      </c>
      <c r="H243" s="3">
        <v>51781.599999999999</v>
      </c>
      <c r="I243" s="3">
        <v>5648</v>
      </c>
      <c r="J243" s="3">
        <v>5.8999999999999997E-2</v>
      </c>
      <c r="K243" s="3">
        <v>13</v>
      </c>
      <c r="L243" s="3">
        <v>85.5</v>
      </c>
      <c r="M243" s="3">
        <v>4.04</v>
      </c>
      <c r="N243" s="4">
        <f t="shared" si="32"/>
        <v>4.04</v>
      </c>
      <c r="O243" s="3">
        <v>0</v>
      </c>
      <c r="P243" s="3">
        <v>3.7</v>
      </c>
      <c r="Q243" s="4">
        <f t="shared" si="25"/>
        <v>3.7</v>
      </c>
      <c r="R243" s="3">
        <v>676337.41</v>
      </c>
      <c r="S243" s="3">
        <v>104355.77</v>
      </c>
      <c r="X243" s="3">
        <v>51781.599999999999</v>
      </c>
      <c r="Y243" s="3">
        <v>5648</v>
      </c>
      <c r="Z243" s="3">
        <v>85.5</v>
      </c>
      <c r="AA243" s="4">
        <f t="shared" si="26"/>
        <v>0</v>
      </c>
      <c r="AB243" s="4">
        <f t="shared" si="27"/>
        <v>0</v>
      </c>
      <c r="AC243" s="4">
        <f t="shared" si="28"/>
        <v>0</v>
      </c>
    </row>
    <row r="244" spans="1:29">
      <c r="A244" s="3" t="s">
        <v>82</v>
      </c>
      <c r="B244" s="5">
        <v>45717</v>
      </c>
      <c r="C244" s="3" t="s">
        <v>24</v>
      </c>
      <c r="D244" s="4">
        <f t="shared" si="29"/>
        <v>0</v>
      </c>
      <c r="E244" s="4">
        <f t="shared" si="30"/>
        <v>1</v>
      </c>
      <c r="F244" s="4">
        <f t="shared" si="31"/>
        <v>0</v>
      </c>
      <c r="G244" s="3" t="s">
        <v>21</v>
      </c>
      <c r="H244" s="3">
        <v>70799.64</v>
      </c>
      <c r="I244" s="3">
        <v>10076</v>
      </c>
      <c r="J244" s="3">
        <v>0.152</v>
      </c>
      <c r="K244" s="3">
        <v>24</v>
      </c>
      <c r="L244" s="3">
        <v>84.8</v>
      </c>
      <c r="M244" s="3">
        <v>1.87</v>
      </c>
      <c r="N244" s="4">
        <f t="shared" si="32"/>
        <v>1.87</v>
      </c>
      <c r="O244" s="3">
        <v>0</v>
      </c>
      <c r="P244" s="3">
        <v>3.5</v>
      </c>
      <c r="Q244" s="4">
        <f t="shared" si="25"/>
        <v>3.5</v>
      </c>
      <c r="R244" s="3">
        <v>828219.67</v>
      </c>
      <c r="S244" s="3">
        <v>179806.87</v>
      </c>
      <c r="X244" s="3">
        <v>70799.64</v>
      </c>
      <c r="Y244" s="3">
        <v>10076</v>
      </c>
      <c r="Z244" s="3">
        <v>84.8</v>
      </c>
      <c r="AA244" s="4">
        <f t="shared" si="26"/>
        <v>0</v>
      </c>
      <c r="AB244" s="4">
        <f t="shared" si="27"/>
        <v>0</v>
      </c>
      <c r="AC244" s="4">
        <f t="shared" si="28"/>
        <v>0</v>
      </c>
    </row>
    <row r="245" spans="1:29">
      <c r="A245" s="3" t="s">
        <v>82</v>
      </c>
      <c r="B245" s="5">
        <v>45748</v>
      </c>
      <c r="C245" s="3" t="s">
        <v>24</v>
      </c>
      <c r="D245" s="4">
        <f t="shared" si="29"/>
        <v>0</v>
      </c>
      <c r="E245" s="4">
        <f t="shared" si="30"/>
        <v>1</v>
      </c>
      <c r="F245" s="4">
        <f t="shared" si="31"/>
        <v>0</v>
      </c>
      <c r="G245" s="3" t="s">
        <v>21</v>
      </c>
      <c r="H245" s="3">
        <v>53546.34</v>
      </c>
      <c r="I245" s="3">
        <v>8004</v>
      </c>
      <c r="J245" s="3">
        <v>0</v>
      </c>
      <c r="K245" s="3">
        <v>21</v>
      </c>
      <c r="L245" s="3">
        <v>95.2</v>
      </c>
      <c r="M245" s="3">
        <v>2.83</v>
      </c>
      <c r="N245" s="4">
        <f t="shared" si="32"/>
        <v>2.83</v>
      </c>
      <c r="O245" s="3">
        <v>0</v>
      </c>
      <c r="P245" s="3">
        <v>3</v>
      </c>
      <c r="Q245" s="4">
        <f t="shared" si="25"/>
        <v>3</v>
      </c>
      <c r="R245" s="3">
        <v>763159.92</v>
      </c>
      <c r="S245" s="3">
        <v>177104.87</v>
      </c>
      <c r="X245" s="3">
        <v>53546.34</v>
      </c>
      <c r="Y245" s="3">
        <v>8004</v>
      </c>
      <c r="Z245" s="3">
        <v>95.2</v>
      </c>
      <c r="AA245" s="4">
        <f t="shared" si="26"/>
        <v>0</v>
      </c>
      <c r="AB245" s="4">
        <f t="shared" si="27"/>
        <v>0</v>
      </c>
      <c r="AC245" s="4">
        <f t="shared" si="28"/>
        <v>0</v>
      </c>
    </row>
    <row r="246" spans="1:29">
      <c r="A246" s="3" t="s">
        <v>83</v>
      </c>
      <c r="B246" s="5">
        <v>45658</v>
      </c>
      <c r="C246" s="3" t="s">
        <v>15</v>
      </c>
      <c r="D246" s="4">
        <f t="shared" si="29"/>
        <v>0</v>
      </c>
      <c r="E246" s="4">
        <f t="shared" si="30"/>
        <v>0</v>
      </c>
      <c r="F246" s="4">
        <f t="shared" si="31"/>
        <v>0</v>
      </c>
      <c r="G246" s="3" t="s">
        <v>18</v>
      </c>
      <c r="H246" s="3">
        <v>76942.2</v>
      </c>
      <c r="I246" s="3">
        <v>8934</v>
      </c>
      <c r="J246" s="3">
        <v>8.4000000000000005E-2</v>
      </c>
      <c r="K246" s="3">
        <v>20</v>
      </c>
      <c r="L246" s="3">
        <v>91</v>
      </c>
      <c r="M246" s="3">
        <v>0.95</v>
      </c>
      <c r="N246" s="4">
        <f t="shared" si="32"/>
        <v>0.95</v>
      </c>
      <c r="O246" s="3">
        <v>0</v>
      </c>
      <c r="P246" s="3">
        <v>3.2</v>
      </c>
      <c r="Q246" s="4">
        <f t="shared" si="25"/>
        <v>3.2</v>
      </c>
      <c r="R246" s="3">
        <v>802001.68</v>
      </c>
      <c r="S246" s="3">
        <v>159715.82</v>
      </c>
      <c r="X246" s="3">
        <v>76942.2</v>
      </c>
      <c r="Y246" s="3">
        <v>8934</v>
      </c>
      <c r="Z246" s="3">
        <v>91</v>
      </c>
      <c r="AA246" s="4">
        <f t="shared" si="26"/>
        <v>0</v>
      </c>
      <c r="AB246" s="4">
        <f t="shared" si="27"/>
        <v>0</v>
      </c>
      <c r="AC246" s="4">
        <f t="shared" si="28"/>
        <v>0</v>
      </c>
    </row>
    <row r="247" spans="1:29">
      <c r="A247" s="3" t="s">
        <v>83</v>
      </c>
      <c r="B247" s="5">
        <v>45689</v>
      </c>
      <c r="C247" s="3" t="s">
        <v>15</v>
      </c>
      <c r="D247" s="4">
        <f t="shared" si="29"/>
        <v>0</v>
      </c>
      <c r="E247" s="4">
        <f t="shared" si="30"/>
        <v>0</v>
      </c>
      <c r="F247" s="4">
        <f t="shared" si="31"/>
        <v>0</v>
      </c>
      <c r="G247" s="3" t="s">
        <v>18</v>
      </c>
      <c r="H247" s="3">
        <v>48060.78</v>
      </c>
      <c r="I247" s="3">
        <v>8733</v>
      </c>
      <c r="J247" s="3">
        <v>0</v>
      </c>
      <c r="K247" s="3">
        <v>20</v>
      </c>
      <c r="L247" s="3">
        <v>89.9</v>
      </c>
      <c r="M247" s="3">
        <v>0.8</v>
      </c>
      <c r="N247" s="4">
        <f t="shared" si="32"/>
        <v>0.8</v>
      </c>
      <c r="O247" s="3">
        <v>0</v>
      </c>
      <c r="P247" s="3">
        <v>3.4</v>
      </c>
      <c r="Q247" s="4">
        <f t="shared" si="25"/>
        <v>3.4</v>
      </c>
      <c r="R247" s="3">
        <v>750471.34</v>
      </c>
      <c r="S247" s="3">
        <v>133788.04</v>
      </c>
      <c r="X247" s="3">
        <v>48060.78</v>
      </c>
      <c r="Y247" s="3">
        <v>8733</v>
      </c>
      <c r="Z247" s="3">
        <v>89.9</v>
      </c>
      <c r="AA247" s="4">
        <f t="shared" si="26"/>
        <v>0</v>
      </c>
      <c r="AB247" s="4">
        <f t="shared" si="27"/>
        <v>0</v>
      </c>
      <c r="AC247" s="4">
        <f t="shared" si="28"/>
        <v>0</v>
      </c>
    </row>
    <row r="248" spans="1:29">
      <c r="A248" s="3" t="s">
        <v>83</v>
      </c>
      <c r="B248" s="5">
        <v>45717</v>
      </c>
      <c r="C248" s="3" t="s">
        <v>15</v>
      </c>
      <c r="D248" s="4">
        <f t="shared" si="29"/>
        <v>0</v>
      </c>
      <c r="E248" s="4">
        <f t="shared" si="30"/>
        <v>0</v>
      </c>
      <c r="F248" s="4">
        <f t="shared" si="31"/>
        <v>0</v>
      </c>
      <c r="G248" s="3" t="s">
        <v>18</v>
      </c>
      <c r="H248" s="3">
        <v>57390.04</v>
      </c>
      <c r="I248" s="3">
        <v>7374</v>
      </c>
      <c r="J248" s="3">
        <v>0.21</v>
      </c>
      <c r="K248" s="3">
        <v>21</v>
      </c>
      <c r="L248" s="3">
        <v>91.8</v>
      </c>
      <c r="M248" s="3">
        <v>0.2</v>
      </c>
      <c r="N248" s="4">
        <f t="shared" si="32"/>
        <v>0.2</v>
      </c>
      <c r="O248" s="3">
        <v>0</v>
      </c>
      <c r="P248" s="3">
        <v>3.1</v>
      </c>
      <c r="Q248" s="4">
        <f t="shared" si="25"/>
        <v>3.1</v>
      </c>
      <c r="R248" s="3">
        <v>679230.86</v>
      </c>
      <c r="S248" s="3">
        <v>106927.58</v>
      </c>
      <c r="X248" s="3">
        <v>57390.04</v>
      </c>
      <c r="Y248" s="3">
        <v>7374</v>
      </c>
      <c r="Z248" s="3">
        <v>91.8</v>
      </c>
      <c r="AA248" s="4">
        <f t="shared" si="26"/>
        <v>0</v>
      </c>
      <c r="AB248" s="4">
        <f t="shared" si="27"/>
        <v>0</v>
      </c>
      <c r="AC248" s="4">
        <f t="shared" si="28"/>
        <v>0</v>
      </c>
    </row>
    <row r="249" spans="1:29">
      <c r="A249" s="3" t="s">
        <v>83</v>
      </c>
      <c r="B249" s="5">
        <v>45748</v>
      </c>
      <c r="C249" s="3" t="s">
        <v>15</v>
      </c>
      <c r="D249" s="4">
        <f t="shared" si="29"/>
        <v>0</v>
      </c>
      <c r="E249" s="4">
        <f t="shared" si="30"/>
        <v>0</v>
      </c>
      <c r="F249" s="4">
        <f t="shared" si="31"/>
        <v>0</v>
      </c>
      <c r="G249" s="3" t="s">
        <v>18</v>
      </c>
      <c r="H249" s="3">
        <v>21536.18</v>
      </c>
      <c r="I249" s="3">
        <v>8119</v>
      </c>
      <c r="J249" s="3">
        <v>0.22700000000000001</v>
      </c>
      <c r="K249" s="3">
        <v>20</v>
      </c>
      <c r="L249" s="3">
        <v>90.4</v>
      </c>
      <c r="M249" s="3">
        <v>1.7</v>
      </c>
      <c r="N249" s="4">
        <f t="shared" si="32"/>
        <v>1.7</v>
      </c>
      <c r="O249" s="3">
        <v>0</v>
      </c>
      <c r="P249" s="3">
        <v>3.3</v>
      </c>
      <c r="Q249" s="4">
        <f t="shared" si="25"/>
        <v>3.3</v>
      </c>
      <c r="R249" s="3">
        <v>679888.74</v>
      </c>
      <c r="S249" s="3">
        <v>83406.89</v>
      </c>
      <c r="X249" s="3">
        <v>21536.18</v>
      </c>
      <c r="Y249" s="3">
        <v>8119</v>
      </c>
      <c r="Z249" s="3">
        <v>90.4</v>
      </c>
      <c r="AA249" s="4">
        <f t="shared" si="26"/>
        <v>0</v>
      </c>
      <c r="AB249" s="4">
        <f t="shared" si="27"/>
        <v>0</v>
      </c>
      <c r="AC249" s="4">
        <f t="shared" si="28"/>
        <v>0</v>
      </c>
    </row>
    <row r="250" spans="1:29">
      <c r="A250" s="3" t="s">
        <v>84</v>
      </c>
      <c r="B250" s="5">
        <v>45658</v>
      </c>
      <c r="C250" s="3" t="s">
        <v>20</v>
      </c>
      <c r="D250" s="4">
        <f t="shared" si="29"/>
        <v>1</v>
      </c>
      <c r="E250" s="4">
        <f t="shared" si="30"/>
        <v>0</v>
      </c>
      <c r="F250" s="4">
        <f t="shared" si="31"/>
        <v>0</v>
      </c>
      <c r="G250" s="3" t="s">
        <v>18</v>
      </c>
      <c r="H250" s="3">
        <v>40923.67</v>
      </c>
      <c r="I250" s="3">
        <v>3875</v>
      </c>
      <c r="J250" s="3">
        <v>0.15</v>
      </c>
      <c r="K250" s="3">
        <v>10</v>
      </c>
      <c r="L250" s="3">
        <v>96.1</v>
      </c>
      <c r="M250" s="3"/>
      <c r="N250" s="4">
        <f t="shared" si="32"/>
        <v>3.3650000000000002</v>
      </c>
      <c r="O250" s="3">
        <v>0</v>
      </c>
      <c r="P250" s="3">
        <v>3.8</v>
      </c>
      <c r="Q250" s="4">
        <f t="shared" si="25"/>
        <v>3.8</v>
      </c>
      <c r="R250" s="3">
        <v>606783.67000000004</v>
      </c>
      <c r="S250" s="3">
        <v>74515.87</v>
      </c>
      <c r="X250" s="3">
        <v>40923.67</v>
      </c>
      <c r="Y250" s="3">
        <v>3875</v>
      </c>
      <c r="Z250" s="3">
        <v>96.1</v>
      </c>
      <c r="AA250" s="4">
        <f t="shared" si="26"/>
        <v>0</v>
      </c>
      <c r="AB250" s="4">
        <f t="shared" si="27"/>
        <v>0</v>
      </c>
      <c r="AC250" s="4">
        <f t="shared" si="28"/>
        <v>0</v>
      </c>
    </row>
    <row r="251" spans="1:29">
      <c r="A251" s="3" t="s">
        <v>84</v>
      </c>
      <c r="B251" s="5">
        <v>45689</v>
      </c>
      <c r="C251" s="3" t="s">
        <v>20</v>
      </c>
      <c r="D251" s="4">
        <f t="shared" si="29"/>
        <v>1</v>
      </c>
      <c r="E251" s="4">
        <f t="shared" si="30"/>
        <v>0</v>
      </c>
      <c r="F251" s="4">
        <f t="shared" si="31"/>
        <v>0</v>
      </c>
      <c r="G251" s="3" t="s">
        <v>18</v>
      </c>
      <c r="H251" s="3">
        <v>72932.55</v>
      </c>
      <c r="I251" s="3">
        <v>5765</v>
      </c>
      <c r="J251" s="3">
        <v>2.5999999999999999E-2</v>
      </c>
      <c r="K251" s="3">
        <v>17</v>
      </c>
      <c r="L251" s="3">
        <v>81.8</v>
      </c>
      <c r="M251" s="3">
        <v>5.0999999999999996</v>
      </c>
      <c r="N251" s="4">
        <f t="shared" si="32"/>
        <v>5.0999999999999996</v>
      </c>
      <c r="O251" s="3">
        <v>0</v>
      </c>
      <c r="P251" s="3">
        <v>3.6</v>
      </c>
      <c r="Q251" s="4">
        <f t="shared" si="25"/>
        <v>3.6</v>
      </c>
      <c r="R251" s="3">
        <v>642751.42000000004</v>
      </c>
      <c r="S251" s="3">
        <v>131942.15</v>
      </c>
      <c r="X251" s="3">
        <v>72932.55</v>
      </c>
      <c r="Y251" s="3">
        <v>5765</v>
      </c>
      <c r="Z251" s="3">
        <v>81.8</v>
      </c>
      <c r="AA251" s="4">
        <f t="shared" si="26"/>
        <v>0</v>
      </c>
      <c r="AB251" s="4">
        <f t="shared" si="27"/>
        <v>0</v>
      </c>
      <c r="AC251" s="4">
        <f t="shared" si="28"/>
        <v>0</v>
      </c>
    </row>
    <row r="252" spans="1:29">
      <c r="A252" s="3" t="s">
        <v>84</v>
      </c>
      <c r="B252" s="5">
        <v>45717</v>
      </c>
      <c r="C252" s="3" t="s">
        <v>20</v>
      </c>
      <c r="D252" s="4">
        <f t="shared" si="29"/>
        <v>1</v>
      </c>
      <c r="E252" s="4">
        <f t="shared" si="30"/>
        <v>0</v>
      </c>
      <c r="F252" s="4">
        <f t="shared" si="31"/>
        <v>0</v>
      </c>
      <c r="G252" s="3" t="s">
        <v>18</v>
      </c>
      <c r="H252" s="3">
        <v>38361.93</v>
      </c>
      <c r="I252" s="3">
        <v>6322</v>
      </c>
      <c r="J252" s="3">
        <v>0.27300000000000002</v>
      </c>
      <c r="K252" s="3">
        <v>15</v>
      </c>
      <c r="L252" s="3">
        <v>88.4</v>
      </c>
      <c r="M252" s="3">
        <v>0.83</v>
      </c>
      <c r="N252" s="4">
        <f t="shared" si="32"/>
        <v>0.83</v>
      </c>
      <c r="O252" s="3">
        <v>0</v>
      </c>
      <c r="P252" s="3">
        <v>4</v>
      </c>
      <c r="Q252" s="4">
        <f t="shared" si="25"/>
        <v>4</v>
      </c>
      <c r="R252" s="3">
        <v>647953.78</v>
      </c>
      <c r="S252" s="3">
        <v>118497.43</v>
      </c>
      <c r="X252" s="3">
        <v>38361.93</v>
      </c>
      <c r="Y252" s="3">
        <v>6322</v>
      </c>
      <c r="Z252" s="3">
        <v>88.4</v>
      </c>
      <c r="AA252" s="4">
        <f t="shared" si="26"/>
        <v>0</v>
      </c>
      <c r="AB252" s="4">
        <f t="shared" si="27"/>
        <v>0</v>
      </c>
      <c r="AC252" s="4">
        <f t="shared" si="28"/>
        <v>0</v>
      </c>
    </row>
    <row r="253" spans="1:29">
      <c r="A253" s="3" t="s">
        <v>84</v>
      </c>
      <c r="B253" s="5">
        <v>45748</v>
      </c>
      <c r="C253" s="3" t="s">
        <v>20</v>
      </c>
      <c r="D253" s="4">
        <f t="shared" si="29"/>
        <v>1</v>
      </c>
      <c r="E253" s="4">
        <f t="shared" si="30"/>
        <v>0</v>
      </c>
      <c r="F253" s="4">
        <f t="shared" si="31"/>
        <v>0</v>
      </c>
      <c r="G253" s="3" t="s">
        <v>18</v>
      </c>
      <c r="H253" s="3">
        <v>97480.94</v>
      </c>
      <c r="I253" s="3">
        <v>6840</v>
      </c>
      <c r="J253" s="3">
        <v>8.6999999999999994E-2</v>
      </c>
      <c r="K253" s="3">
        <v>14</v>
      </c>
      <c r="L253" s="3">
        <v>79.2</v>
      </c>
      <c r="M253" s="3">
        <v>1.1399999999999999</v>
      </c>
      <c r="N253" s="4">
        <f t="shared" si="32"/>
        <v>1.1399999999999999</v>
      </c>
      <c r="O253" s="3">
        <v>0</v>
      </c>
      <c r="P253" s="3">
        <v>4</v>
      </c>
      <c r="Q253" s="4">
        <f t="shared" si="25"/>
        <v>4</v>
      </c>
      <c r="R253" s="3">
        <v>729440.45</v>
      </c>
      <c r="S253" s="3">
        <v>87614.29</v>
      </c>
      <c r="X253" s="3">
        <v>97480.94</v>
      </c>
      <c r="Y253" s="3">
        <v>6840</v>
      </c>
      <c r="Z253" s="3">
        <v>79.2</v>
      </c>
      <c r="AA253" s="4">
        <f t="shared" si="26"/>
        <v>0</v>
      </c>
      <c r="AB253" s="4">
        <f t="shared" si="27"/>
        <v>0</v>
      </c>
      <c r="AC253" s="4">
        <f t="shared" si="28"/>
        <v>0</v>
      </c>
    </row>
    <row r="254" spans="1:29">
      <c r="A254" s="3" t="s">
        <v>85</v>
      </c>
      <c r="B254" s="5">
        <v>45658</v>
      </c>
      <c r="C254" s="3" t="s">
        <v>24</v>
      </c>
      <c r="D254" s="4">
        <f t="shared" si="29"/>
        <v>0</v>
      </c>
      <c r="E254" s="4">
        <f t="shared" si="30"/>
        <v>1</v>
      </c>
      <c r="F254" s="4">
        <f t="shared" si="31"/>
        <v>0</v>
      </c>
      <c r="G254" s="3" t="s">
        <v>21</v>
      </c>
      <c r="H254" s="3">
        <v>81801.8</v>
      </c>
      <c r="I254" s="3">
        <v>6782</v>
      </c>
      <c r="J254" s="3">
        <v>0.05</v>
      </c>
      <c r="K254" s="3">
        <v>16</v>
      </c>
      <c r="L254" s="3">
        <v>99</v>
      </c>
      <c r="M254" s="3">
        <v>9.5399999999999991</v>
      </c>
      <c r="N254" s="4">
        <f t="shared" si="32"/>
        <v>9.5399999999999991</v>
      </c>
      <c r="O254" s="3">
        <v>0</v>
      </c>
      <c r="P254" s="3">
        <v>3.7</v>
      </c>
      <c r="Q254" s="4">
        <f t="shared" si="25"/>
        <v>3.7</v>
      </c>
      <c r="R254" s="3">
        <v>764949</v>
      </c>
      <c r="S254" s="3">
        <v>148322.43</v>
      </c>
      <c r="X254" s="3">
        <v>81801.8</v>
      </c>
      <c r="Y254" s="3">
        <v>6782</v>
      </c>
      <c r="Z254" s="3">
        <v>99</v>
      </c>
      <c r="AA254" s="4">
        <f t="shared" si="26"/>
        <v>0</v>
      </c>
      <c r="AB254" s="4">
        <f t="shared" si="27"/>
        <v>0</v>
      </c>
      <c r="AC254" s="4">
        <f t="shared" si="28"/>
        <v>0</v>
      </c>
    </row>
    <row r="255" spans="1:29">
      <c r="A255" s="3" t="s">
        <v>85</v>
      </c>
      <c r="B255" s="5">
        <v>45689</v>
      </c>
      <c r="C255" s="3" t="s">
        <v>24</v>
      </c>
      <c r="D255" s="4">
        <f t="shared" si="29"/>
        <v>0</v>
      </c>
      <c r="E255" s="4">
        <f t="shared" si="30"/>
        <v>1</v>
      </c>
      <c r="F255" s="4">
        <f t="shared" si="31"/>
        <v>0</v>
      </c>
      <c r="G255" s="3" t="s">
        <v>21</v>
      </c>
      <c r="H255" s="3">
        <v>63582.11</v>
      </c>
      <c r="I255" s="3">
        <v>6856</v>
      </c>
      <c r="J255" s="3">
        <v>7.3999999999999996E-2</v>
      </c>
      <c r="K255" s="3">
        <v>17</v>
      </c>
      <c r="L255" s="3">
        <v>89.5</v>
      </c>
      <c r="M255" s="3">
        <v>5.48</v>
      </c>
      <c r="N255" s="4">
        <f t="shared" si="32"/>
        <v>5.48</v>
      </c>
      <c r="O255" s="3">
        <v>0</v>
      </c>
      <c r="P255" s="3">
        <v>3.2</v>
      </c>
      <c r="Q255" s="4">
        <f t="shared" si="25"/>
        <v>3.2</v>
      </c>
      <c r="R255" s="3">
        <v>799046.94</v>
      </c>
      <c r="S255" s="3">
        <v>144553.64000000001</v>
      </c>
      <c r="X255" s="3">
        <v>63582.11</v>
      </c>
      <c r="Y255" s="3">
        <v>6856</v>
      </c>
      <c r="Z255" s="3">
        <v>89.5</v>
      </c>
      <c r="AA255" s="4">
        <f t="shared" si="26"/>
        <v>0</v>
      </c>
      <c r="AB255" s="4">
        <f t="shared" si="27"/>
        <v>0</v>
      </c>
      <c r="AC255" s="4">
        <f t="shared" si="28"/>
        <v>0</v>
      </c>
    </row>
    <row r="256" spans="1:29">
      <c r="A256" s="3" t="s">
        <v>85</v>
      </c>
      <c r="B256" s="5">
        <v>45717</v>
      </c>
      <c r="C256" s="3" t="s">
        <v>24</v>
      </c>
      <c r="D256" s="4">
        <f t="shared" si="29"/>
        <v>0</v>
      </c>
      <c r="E256" s="4">
        <f t="shared" si="30"/>
        <v>1</v>
      </c>
      <c r="F256" s="4">
        <f t="shared" si="31"/>
        <v>0</v>
      </c>
      <c r="G256" s="3" t="s">
        <v>21</v>
      </c>
      <c r="H256" s="3">
        <v>75412.740000000005</v>
      </c>
      <c r="I256" s="3">
        <v>5641</v>
      </c>
      <c r="J256" s="3">
        <v>5.8999999999999997E-2</v>
      </c>
      <c r="K256" s="3">
        <v>13</v>
      </c>
      <c r="L256" s="3">
        <v>87.9</v>
      </c>
      <c r="M256" s="3">
        <v>0.84</v>
      </c>
      <c r="N256" s="4">
        <f t="shared" si="32"/>
        <v>0.84</v>
      </c>
      <c r="O256" s="3">
        <v>0</v>
      </c>
      <c r="P256" s="3">
        <v>3.6</v>
      </c>
      <c r="Q256" s="4">
        <f t="shared" si="25"/>
        <v>3.6</v>
      </c>
      <c r="R256" s="3">
        <v>720079.54</v>
      </c>
      <c r="S256" s="3">
        <v>119499.47</v>
      </c>
      <c r="X256" s="3">
        <v>75412.740000000005</v>
      </c>
      <c r="Y256" s="3">
        <v>5641</v>
      </c>
      <c r="Z256" s="3">
        <v>87.9</v>
      </c>
      <c r="AA256" s="4">
        <f t="shared" si="26"/>
        <v>0</v>
      </c>
      <c r="AB256" s="4">
        <f t="shared" si="27"/>
        <v>0</v>
      </c>
      <c r="AC256" s="4">
        <f t="shared" si="28"/>
        <v>0</v>
      </c>
    </row>
    <row r="257" spans="1:29">
      <c r="A257" s="3" t="s">
        <v>85</v>
      </c>
      <c r="B257" s="5">
        <v>45748</v>
      </c>
      <c r="C257" s="3" t="s">
        <v>24</v>
      </c>
      <c r="D257" s="4">
        <f t="shared" si="29"/>
        <v>0</v>
      </c>
      <c r="E257" s="4">
        <f t="shared" si="30"/>
        <v>1</v>
      </c>
      <c r="F257" s="4">
        <f t="shared" si="31"/>
        <v>0</v>
      </c>
      <c r="G257" s="3" t="s">
        <v>21</v>
      </c>
      <c r="H257" s="3">
        <v>36290.080000000002</v>
      </c>
      <c r="I257" s="3">
        <v>5787</v>
      </c>
      <c r="J257" s="3">
        <v>0</v>
      </c>
      <c r="K257" s="3">
        <v>17</v>
      </c>
      <c r="L257" s="3">
        <v>88.3</v>
      </c>
      <c r="M257" s="3">
        <v>4.1900000000000004</v>
      </c>
      <c r="N257" s="4">
        <f t="shared" si="32"/>
        <v>4.1900000000000004</v>
      </c>
      <c r="O257" s="3">
        <v>0</v>
      </c>
      <c r="P257" s="3">
        <v>4.0999999999999996</v>
      </c>
      <c r="Q257" s="4">
        <f t="shared" si="25"/>
        <v>4.0999999999999996</v>
      </c>
      <c r="R257" s="3">
        <v>612390.14</v>
      </c>
      <c r="S257" s="3">
        <v>108985.74</v>
      </c>
      <c r="X257" s="3">
        <v>36290.080000000002</v>
      </c>
      <c r="Y257" s="3">
        <v>5787</v>
      </c>
      <c r="Z257" s="3">
        <v>88.3</v>
      </c>
      <c r="AA257" s="4">
        <f t="shared" si="26"/>
        <v>0</v>
      </c>
      <c r="AB257" s="4">
        <f t="shared" si="27"/>
        <v>0</v>
      </c>
      <c r="AC257" s="4">
        <f t="shared" si="28"/>
        <v>0</v>
      </c>
    </row>
    <row r="258" spans="1:29">
      <c r="A258" s="3" t="s">
        <v>86</v>
      </c>
      <c r="B258" s="5">
        <v>45658</v>
      </c>
      <c r="C258" s="3" t="s">
        <v>24</v>
      </c>
      <c r="D258" s="4">
        <f t="shared" si="29"/>
        <v>0</v>
      </c>
      <c r="E258" s="4">
        <f t="shared" si="30"/>
        <v>1</v>
      </c>
      <c r="F258" s="4">
        <f t="shared" si="31"/>
        <v>0</v>
      </c>
      <c r="G258" s="3" t="s">
        <v>28</v>
      </c>
      <c r="H258" s="3">
        <v>65272.58</v>
      </c>
      <c r="I258" s="3">
        <v>8165</v>
      </c>
      <c r="J258" s="3">
        <v>5.0999999999999997E-2</v>
      </c>
      <c r="K258" s="3">
        <v>19</v>
      </c>
      <c r="L258" s="3">
        <v>87.8</v>
      </c>
      <c r="M258" s="3">
        <v>1.26</v>
      </c>
      <c r="N258" s="4">
        <f t="shared" si="32"/>
        <v>1.26</v>
      </c>
      <c r="O258" s="3">
        <v>1</v>
      </c>
      <c r="P258" s="3">
        <v>4.3</v>
      </c>
      <c r="Q258" s="4">
        <f t="shared" ref="Q258:Q321" si="33">IF(P258="",$Q$324,P258)</f>
        <v>4.3</v>
      </c>
      <c r="R258" s="3">
        <v>840108.12</v>
      </c>
      <c r="S258" s="3">
        <v>126587.01</v>
      </c>
      <c r="X258" s="3">
        <v>65272.58</v>
      </c>
      <c r="Y258" s="3">
        <v>8165</v>
      </c>
      <c r="Z258" s="3">
        <v>87.8</v>
      </c>
      <c r="AA258" s="4">
        <f t="shared" ref="AA258:AA321" si="34">IF(T258="North",1,0)</f>
        <v>0</v>
      </c>
      <c r="AB258" s="4">
        <f t="shared" ref="AB258:AB321" si="35">IF(T258="South",1,0)</f>
        <v>0</v>
      </c>
      <c r="AC258" s="4">
        <f t="shared" ref="AC258:AC321" si="36">IF(T258="West",1,0)</f>
        <v>0</v>
      </c>
    </row>
    <row r="259" spans="1:29">
      <c r="A259" s="3" t="s">
        <v>86</v>
      </c>
      <c r="B259" s="5">
        <v>45689</v>
      </c>
      <c r="C259" s="3" t="s">
        <v>24</v>
      </c>
      <c r="D259" s="4">
        <f t="shared" ref="D259:D321" si="37">IF(C259="North",1,0)</f>
        <v>0</v>
      </c>
      <c r="E259" s="4">
        <f t="shared" ref="E259:E321" si="38">IF(C259="South",1,0)</f>
        <v>1</v>
      </c>
      <c r="F259" s="4">
        <f t="shared" ref="F259:F321" si="39">IF(C259="West",1,0)</f>
        <v>0</v>
      </c>
      <c r="G259" s="3" t="s">
        <v>28</v>
      </c>
      <c r="H259" s="3">
        <v>28670.43</v>
      </c>
      <c r="I259" s="3">
        <v>7574</v>
      </c>
      <c r="J259" s="3">
        <v>0.114</v>
      </c>
      <c r="K259" s="3">
        <v>19</v>
      </c>
      <c r="L259" s="3">
        <v>82.7</v>
      </c>
      <c r="M259" s="3">
        <v>2.74</v>
      </c>
      <c r="N259" s="4">
        <f t="shared" si="32"/>
        <v>2.74</v>
      </c>
      <c r="O259" s="3">
        <v>0</v>
      </c>
      <c r="P259" s="3">
        <v>4.5999999999999996</v>
      </c>
      <c r="Q259" s="4">
        <f t="shared" si="33"/>
        <v>4.5999999999999996</v>
      </c>
      <c r="R259" s="3">
        <v>697888.09</v>
      </c>
      <c r="S259" s="3">
        <v>116249.87</v>
      </c>
      <c r="X259" s="3">
        <v>28670.43</v>
      </c>
      <c r="Y259" s="3">
        <v>7574</v>
      </c>
      <c r="Z259" s="3">
        <v>82.7</v>
      </c>
      <c r="AA259" s="4">
        <f t="shared" si="34"/>
        <v>0</v>
      </c>
      <c r="AB259" s="4">
        <f t="shared" si="35"/>
        <v>0</v>
      </c>
      <c r="AC259" s="4">
        <f t="shared" si="36"/>
        <v>0</v>
      </c>
    </row>
    <row r="260" spans="1:29">
      <c r="A260" s="3" t="s">
        <v>86</v>
      </c>
      <c r="B260" s="5">
        <v>45717</v>
      </c>
      <c r="C260" s="3" t="s">
        <v>24</v>
      </c>
      <c r="D260" s="4">
        <f t="shared" si="37"/>
        <v>0</v>
      </c>
      <c r="E260" s="4">
        <f t="shared" si="38"/>
        <v>1</v>
      </c>
      <c r="F260" s="4">
        <f t="shared" si="39"/>
        <v>0</v>
      </c>
      <c r="G260" s="3" t="s">
        <v>28</v>
      </c>
      <c r="H260" s="3">
        <v>44189.34</v>
      </c>
      <c r="I260" s="3">
        <v>8634</v>
      </c>
      <c r="J260" s="3">
        <v>0.14299999999999999</v>
      </c>
      <c r="K260" s="3">
        <v>19</v>
      </c>
      <c r="L260" s="3">
        <v>87.5</v>
      </c>
      <c r="M260" s="3">
        <v>3.69</v>
      </c>
      <c r="N260" s="4">
        <f t="shared" si="32"/>
        <v>3.69</v>
      </c>
      <c r="O260" s="3">
        <v>0</v>
      </c>
      <c r="P260" s="3">
        <v>4.4000000000000004</v>
      </c>
      <c r="Q260" s="4">
        <f t="shared" si="33"/>
        <v>4.4000000000000004</v>
      </c>
      <c r="R260" s="3">
        <v>746115.59</v>
      </c>
      <c r="S260" s="3">
        <v>94662.96</v>
      </c>
      <c r="X260" s="3">
        <v>44189.34</v>
      </c>
      <c r="Y260" s="3">
        <v>8634</v>
      </c>
      <c r="Z260" s="3">
        <v>87.5</v>
      </c>
      <c r="AA260" s="4">
        <f t="shared" si="34"/>
        <v>0</v>
      </c>
      <c r="AB260" s="4">
        <f t="shared" si="35"/>
        <v>0</v>
      </c>
      <c r="AC260" s="4">
        <f t="shared" si="36"/>
        <v>0</v>
      </c>
    </row>
    <row r="261" spans="1:29">
      <c r="A261" s="3" t="s">
        <v>86</v>
      </c>
      <c r="B261" s="5">
        <v>45748</v>
      </c>
      <c r="C261" s="3" t="s">
        <v>24</v>
      </c>
      <c r="D261" s="4">
        <f t="shared" si="37"/>
        <v>0</v>
      </c>
      <c r="E261" s="4">
        <f t="shared" si="38"/>
        <v>1</v>
      </c>
      <c r="F261" s="4">
        <f t="shared" si="39"/>
        <v>0</v>
      </c>
      <c r="G261" s="3" t="s">
        <v>28</v>
      </c>
      <c r="H261" s="3">
        <v>38397.82</v>
      </c>
      <c r="I261" s="3">
        <v>7836</v>
      </c>
      <c r="J261" s="3">
        <v>7.0000000000000001E-3</v>
      </c>
      <c r="K261" s="3">
        <v>21</v>
      </c>
      <c r="L261" s="3">
        <v>92.2</v>
      </c>
      <c r="M261" s="3">
        <v>1.82</v>
      </c>
      <c r="N261" s="4">
        <f t="shared" si="32"/>
        <v>1.82</v>
      </c>
      <c r="O261" s="3">
        <v>0</v>
      </c>
      <c r="P261" s="3">
        <v>3.6</v>
      </c>
      <c r="Q261" s="4">
        <f t="shared" si="33"/>
        <v>3.6</v>
      </c>
      <c r="R261" s="3">
        <v>776110.32</v>
      </c>
      <c r="S261" s="3">
        <v>139676.21</v>
      </c>
      <c r="X261" s="3">
        <v>38397.82</v>
      </c>
      <c r="Y261" s="3">
        <v>7836</v>
      </c>
      <c r="Z261" s="3">
        <v>92.2</v>
      </c>
      <c r="AA261" s="4">
        <f t="shared" si="34"/>
        <v>0</v>
      </c>
      <c r="AB261" s="4">
        <f t="shared" si="35"/>
        <v>0</v>
      </c>
      <c r="AC261" s="4">
        <f t="shared" si="36"/>
        <v>0</v>
      </c>
    </row>
    <row r="262" spans="1:29">
      <c r="A262" s="3" t="s">
        <v>87</v>
      </c>
      <c r="B262" s="5">
        <v>45658</v>
      </c>
      <c r="C262" s="3" t="s">
        <v>27</v>
      </c>
      <c r="D262" s="4">
        <f t="shared" si="37"/>
        <v>0</v>
      </c>
      <c r="E262" s="4">
        <f t="shared" si="38"/>
        <v>0</v>
      </c>
      <c r="F262" s="4">
        <f t="shared" si="39"/>
        <v>1</v>
      </c>
      <c r="G262" s="3" t="s">
        <v>18</v>
      </c>
      <c r="H262" s="3">
        <v>14519.37</v>
      </c>
      <c r="I262" s="3">
        <v>3047</v>
      </c>
      <c r="J262" s="3">
        <v>0.13500000000000001</v>
      </c>
      <c r="K262" s="3">
        <v>10</v>
      </c>
      <c r="L262" s="3">
        <v>90.3</v>
      </c>
      <c r="M262" s="3">
        <v>6.62</v>
      </c>
      <c r="N262" s="4">
        <f t="shared" si="32"/>
        <v>6.62</v>
      </c>
      <c r="O262" s="3">
        <v>0</v>
      </c>
      <c r="P262" s="3">
        <v>4.2</v>
      </c>
      <c r="Q262" s="4">
        <f t="shared" si="33"/>
        <v>4.2</v>
      </c>
      <c r="R262" s="3">
        <v>528852.62</v>
      </c>
      <c r="S262" s="3">
        <v>68426.210000000006</v>
      </c>
      <c r="X262" s="3">
        <v>14519.37</v>
      </c>
      <c r="Y262" s="3">
        <v>3047</v>
      </c>
      <c r="Z262" s="3">
        <v>90.3</v>
      </c>
      <c r="AA262" s="4">
        <f t="shared" si="34"/>
        <v>0</v>
      </c>
      <c r="AB262" s="4">
        <f t="shared" si="35"/>
        <v>0</v>
      </c>
      <c r="AC262" s="4">
        <f t="shared" si="36"/>
        <v>0</v>
      </c>
    </row>
    <row r="263" spans="1:29">
      <c r="A263" s="3" t="s">
        <v>87</v>
      </c>
      <c r="B263" s="5">
        <v>45689</v>
      </c>
      <c r="C263" s="3" t="s">
        <v>27</v>
      </c>
      <c r="D263" s="4">
        <f t="shared" si="37"/>
        <v>0</v>
      </c>
      <c r="E263" s="4">
        <f t="shared" si="38"/>
        <v>0</v>
      </c>
      <c r="F263" s="4">
        <f t="shared" si="39"/>
        <v>1</v>
      </c>
      <c r="G263" s="3" t="s">
        <v>18</v>
      </c>
      <c r="H263" s="3">
        <v>43288.2</v>
      </c>
      <c r="I263" s="3">
        <v>4783</v>
      </c>
      <c r="J263" s="3">
        <v>0.16900000000000001</v>
      </c>
      <c r="K263" s="3">
        <v>13</v>
      </c>
      <c r="L263" s="3">
        <v>87.3</v>
      </c>
      <c r="M263" s="3"/>
      <c r="N263" s="4">
        <f t="shared" si="32"/>
        <v>3.3650000000000002</v>
      </c>
      <c r="O263" s="3">
        <v>0</v>
      </c>
      <c r="P263" s="3">
        <v>4.2</v>
      </c>
      <c r="Q263" s="4">
        <f t="shared" si="33"/>
        <v>4.2</v>
      </c>
      <c r="R263" s="3">
        <v>605751.32999999996</v>
      </c>
      <c r="S263" s="3">
        <v>60685.53</v>
      </c>
      <c r="X263" s="3">
        <v>43288.2</v>
      </c>
      <c r="Y263" s="3">
        <v>4783</v>
      </c>
      <c r="Z263" s="3">
        <v>87.3</v>
      </c>
      <c r="AA263" s="4">
        <f t="shared" si="34"/>
        <v>0</v>
      </c>
      <c r="AB263" s="4">
        <f t="shared" si="35"/>
        <v>0</v>
      </c>
      <c r="AC263" s="4">
        <f t="shared" si="36"/>
        <v>0</v>
      </c>
    </row>
    <row r="264" spans="1:29">
      <c r="A264" s="3" t="s">
        <v>87</v>
      </c>
      <c r="B264" s="5">
        <v>45717</v>
      </c>
      <c r="C264" s="3" t="s">
        <v>27</v>
      </c>
      <c r="D264" s="4">
        <f t="shared" si="37"/>
        <v>0</v>
      </c>
      <c r="E264" s="4">
        <f t="shared" si="38"/>
        <v>0</v>
      </c>
      <c r="F264" s="4">
        <f t="shared" si="39"/>
        <v>1</v>
      </c>
      <c r="G264" s="3" t="s">
        <v>18</v>
      </c>
      <c r="H264" s="3">
        <v>51450.55</v>
      </c>
      <c r="I264" s="3">
        <v>4902</v>
      </c>
      <c r="J264" s="3">
        <v>8.5999999999999993E-2</v>
      </c>
      <c r="K264" s="3">
        <v>11</v>
      </c>
      <c r="L264" s="3">
        <v>83.7</v>
      </c>
      <c r="M264" s="3">
        <v>6.92</v>
      </c>
      <c r="N264" s="4">
        <f t="shared" si="32"/>
        <v>6.92</v>
      </c>
      <c r="O264" s="3">
        <v>1</v>
      </c>
      <c r="P264" s="3">
        <v>4.2</v>
      </c>
      <c r="Q264" s="4">
        <f t="shared" si="33"/>
        <v>4.2</v>
      </c>
      <c r="R264" s="3">
        <v>677640.65</v>
      </c>
      <c r="S264" s="3">
        <v>111610.89</v>
      </c>
      <c r="X264" s="3">
        <v>51450.55</v>
      </c>
      <c r="Y264" s="3">
        <v>4902</v>
      </c>
      <c r="Z264" s="3">
        <v>83.7</v>
      </c>
      <c r="AA264" s="4">
        <f t="shared" si="34"/>
        <v>0</v>
      </c>
      <c r="AB264" s="4">
        <f t="shared" si="35"/>
        <v>0</v>
      </c>
      <c r="AC264" s="4">
        <f t="shared" si="36"/>
        <v>0</v>
      </c>
    </row>
    <row r="265" spans="1:29">
      <c r="A265" s="3" t="s">
        <v>87</v>
      </c>
      <c r="B265" s="5">
        <v>45748</v>
      </c>
      <c r="C265" s="3" t="s">
        <v>27</v>
      </c>
      <c r="D265" s="4">
        <f t="shared" si="37"/>
        <v>0</v>
      </c>
      <c r="E265" s="4">
        <f t="shared" si="38"/>
        <v>0</v>
      </c>
      <c r="F265" s="4">
        <f t="shared" si="39"/>
        <v>1</v>
      </c>
      <c r="G265" s="3" t="s">
        <v>18</v>
      </c>
      <c r="H265" s="3">
        <v>58688.26</v>
      </c>
      <c r="I265" s="3">
        <v>4022</v>
      </c>
      <c r="J265" s="3">
        <v>0.217</v>
      </c>
      <c r="K265" s="3">
        <v>12</v>
      </c>
      <c r="L265" s="3">
        <v>93.8</v>
      </c>
      <c r="M265" s="3">
        <v>11.78</v>
      </c>
      <c r="N265" s="4">
        <f t="shared" si="32"/>
        <v>11.78</v>
      </c>
      <c r="O265" s="3">
        <v>0</v>
      </c>
      <c r="P265" s="3">
        <v>3.7</v>
      </c>
      <c r="Q265" s="4">
        <f t="shared" si="33"/>
        <v>3.7</v>
      </c>
      <c r="R265" s="3">
        <v>636613.23</v>
      </c>
      <c r="S265" s="3">
        <v>78908.350000000006</v>
      </c>
      <c r="X265" s="3">
        <v>58688.26</v>
      </c>
      <c r="Y265" s="3">
        <v>4022</v>
      </c>
      <c r="Z265" s="3">
        <v>93.8</v>
      </c>
      <c r="AA265" s="4">
        <f t="shared" si="34"/>
        <v>0</v>
      </c>
      <c r="AB265" s="4">
        <f t="shared" si="35"/>
        <v>0</v>
      </c>
      <c r="AC265" s="4">
        <f t="shared" si="36"/>
        <v>0</v>
      </c>
    </row>
    <row r="266" spans="1:29">
      <c r="A266" s="3" t="s">
        <v>88</v>
      </c>
      <c r="B266" s="5">
        <v>45658</v>
      </c>
      <c r="C266" s="3" t="s">
        <v>15</v>
      </c>
      <c r="D266" s="4">
        <f t="shared" si="37"/>
        <v>0</v>
      </c>
      <c r="E266" s="4">
        <f t="shared" si="38"/>
        <v>0</v>
      </c>
      <c r="F266" s="4">
        <f t="shared" si="39"/>
        <v>0</v>
      </c>
      <c r="G266" s="3" t="s">
        <v>18</v>
      </c>
      <c r="H266" s="3">
        <v>58981.91</v>
      </c>
      <c r="I266" s="3">
        <v>7324</v>
      </c>
      <c r="J266" s="3">
        <v>9.4E-2</v>
      </c>
      <c r="K266" s="3">
        <v>15</v>
      </c>
      <c r="L266" s="3">
        <v>95.8</v>
      </c>
      <c r="M266" s="3">
        <v>0.5</v>
      </c>
      <c r="N266" s="4">
        <f t="shared" si="32"/>
        <v>0.5</v>
      </c>
      <c r="O266" s="3">
        <v>0</v>
      </c>
      <c r="P266" s="3">
        <v>3.5</v>
      </c>
      <c r="Q266" s="4">
        <f t="shared" si="33"/>
        <v>3.5</v>
      </c>
      <c r="R266" s="3">
        <v>708985.19</v>
      </c>
      <c r="S266" s="3">
        <v>125368.16</v>
      </c>
      <c r="X266" s="3">
        <v>58981.91</v>
      </c>
      <c r="Y266" s="3">
        <v>7324</v>
      </c>
      <c r="Z266" s="3">
        <v>95.8</v>
      </c>
      <c r="AA266" s="4">
        <f t="shared" si="34"/>
        <v>0</v>
      </c>
      <c r="AB266" s="4">
        <f t="shared" si="35"/>
        <v>0</v>
      </c>
      <c r="AC266" s="4">
        <f t="shared" si="36"/>
        <v>0</v>
      </c>
    </row>
    <row r="267" spans="1:29">
      <c r="A267" s="3" t="s">
        <v>88</v>
      </c>
      <c r="B267" s="5">
        <v>45689</v>
      </c>
      <c r="C267" s="3" t="s">
        <v>15</v>
      </c>
      <c r="D267" s="4">
        <f t="shared" si="37"/>
        <v>0</v>
      </c>
      <c r="E267" s="4">
        <f t="shared" si="38"/>
        <v>0</v>
      </c>
      <c r="F267" s="4">
        <f t="shared" si="39"/>
        <v>0</v>
      </c>
      <c r="G267" s="3" t="s">
        <v>18</v>
      </c>
      <c r="H267" s="3">
        <v>73454.539999999994</v>
      </c>
      <c r="I267" s="3">
        <v>8129</v>
      </c>
      <c r="J267" s="3">
        <v>0.21099999999999999</v>
      </c>
      <c r="K267" s="3">
        <v>20</v>
      </c>
      <c r="L267" s="3">
        <v>85.2</v>
      </c>
      <c r="M267" s="3">
        <v>0.88</v>
      </c>
      <c r="N267" s="4">
        <f t="shared" si="32"/>
        <v>0.88</v>
      </c>
      <c r="O267" s="3">
        <v>0</v>
      </c>
      <c r="P267" s="3">
        <v>3.7</v>
      </c>
      <c r="Q267" s="4">
        <f t="shared" si="33"/>
        <v>3.7</v>
      </c>
      <c r="R267" s="3">
        <v>767792.94</v>
      </c>
      <c r="S267" s="3">
        <v>96235.77</v>
      </c>
      <c r="X267" s="3">
        <v>73454.539999999994</v>
      </c>
      <c r="Y267" s="3">
        <v>8129</v>
      </c>
      <c r="Z267" s="3">
        <v>85.2</v>
      </c>
      <c r="AA267" s="4">
        <f t="shared" si="34"/>
        <v>0</v>
      </c>
      <c r="AB267" s="4">
        <f t="shared" si="35"/>
        <v>0</v>
      </c>
      <c r="AC267" s="4">
        <f t="shared" si="36"/>
        <v>0</v>
      </c>
    </row>
    <row r="268" spans="1:29">
      <c r="A268" s="3" t="s">
        <v>88</v>
      </c>
      <c r="B268" s="5">
        <v>45717</v>
      </c>
      <c r="C268" s="3" t="s">
        <v>15</v>
      </c>
      <c r="D268" s="4">
        <f t="shared" si="37"/>
        <v>0</v>
      </c>
      <c r="E268" s="4">
        <f t="shared" si="38"/>
        <v>0</v>
      </c>
      <c r="F268" s="4">
        <f t="shared" si="39"/>
        <v>0</v>
      </c>
      <c r="G268" s="3" t="s">
        <v>18</v>
      </c>
      <c r="H268" s="3">
        <v>56602.39</v>
      </c>
      <c r="I268" s="3">
        <v>7969</v>
      </c>
      <c r="J268" s="3">
        <v>0.17</v>
      </c>
      <c r="K268" s="3">
        <v>21</v>
      </c>
      <c r="L268" s="3">
        <v>88.3</v>
      </c>
      <c r="M268" s="3">
        <v>2.25</v>
      </c>
      <c r="N268" s="4">
        <f t="shared" si="32"/>
        <v>2.25</v>
      </c>
      <c r="O268" s="3">
        <v>0</v>
      </c>
      <c r="P268" s="3">
        <v>3.7</v>
      </c>
      <c r="Q268" s="4">
        <f t="shared" si="33"/>
        <v>3.7</v>
      </c>
      <c r="R268" s="3">
        <v>745580.51</v>
      </c>
      <c r="S268" s="3">
        <v>116273.68</v>
      </c>
      <c r="X268" s="3">
        <v>56602.39</v>
      </c>
      <c r="Y268" s="3">
        <v>7969</v>
      </c>
      <c r="Z268" s="3">
        <v>88.3</v>
      </c>
      <c r="AA268" s="4">
        <f t="shared" si="34"/>
        <v>0</v>
      </c>
      <c r="AB268" s="4">
        <f t="shared" si="35"/>
        <v>0</v>
      </c>
      <c r="AC268" s="4">
        <f t="shared" si="36"/>
        <v>0</v>
      </c>
    </row>
    <row r="269" spans="1:29">
      <c r="A269" s="3" t="s">
        <v>88</v>
      </c>
      <c r="B269" s="5">
        <v>45748</v>
      </c>
      <c r="C269" s="3" t="s">
        <v>15</v>
      </c>
      <c r="D269" s="4">
        <f t="shared" si="37"/>
        <v>0</v>
      </c>
      <c r="E269" s="4">
        <f t="shared" si="38"/>
        <v>0</v>
      </c>
      <c r="F269" s="4">
        <f t="shared" si="39"/>
        <v>0</v>
      </c>
      <c r="G269" s="3" t="s">
        <v>18</v>
      </c>
      <c r="H269" s="3">
        <v>67722.289999999994</v>
      </c>
      <c r="I269" s="3">
        <v>7240</v>
      </c>
      <c r="J269" s="3">
        <v>2.5999999999999999E-2</v>
      </c>
      <c r="K269" s="3">
        <v>15</v>
      </c>
      <c r="L269" s="3">
        <v>92.9</v>
      </c>
      <c r="M269" s="3">
        <v>0.28999999999999998</v>
      </c>
      <c r="N269" s="4">
        <f t="shared" si="32"/>
        <v>0.28999999999999998</v>
      </c>
      <c r="O269" s="3">
        <v>0</v>
      </c>
      <c r="P269" s="3">
        <v>3.5</v>
      </c>
      <c r="Q269" s="4">
        <f t="shared" si="33"/>
        <v>3.5</v>
      </c>
      <c r="R269" s="3">
        <v>762328.31</v>
      </c>
      <c r="S269" s="3">
        <v>159158.19</v>
      </c>
      <c r="X269" s="3">
        <v>67722.289999999994</v>
      </c>
      <c r="Y269" s="3">
        <v>7240</v>
      </c>
      <c r="Z269" s="3">
        <v>92.9</v>
      </c>
      <c r="AA269" s="4">
        <f t="shared" si="34"/>
        <v>0</v>
      </c>
      <c r="AB269" s="4">
        <f t="shared" si="35"/>
        <v>0</v>
      </c>
      <c r="AC269" s="4">
        <f t="shared" si="36"/>
        <v>0</v>
      </c>
    </row>
    <row r="270" spans="1:29">
      <c r="A270" s="3" t="s">
        <v>89</v>
      </c>
      <c r="B270" s="5">
        <v>45658</v>
      </c>
      <c r="C270" s="3" t="s">
        <v>15</v>
      </c>
      <c r="D270" s="4">
        <f t="shared" si="37"/>
        <v>0</v>
      </c>
      <c r="E270" s="4">
        <f t="shared" si="38"/>
        <v>0</v>
      </c>
      <c r="F270" s="4">
        <f t="shared" si="39"/>
        <v>0</v>
      </c>
      <c r="G270" s="3" t="s">
        <v>28</v>
      </c>
      <c r="H270" s="3">
        <v>48752.92</v>
      </c>
      <c r="I270" s="3">
        <v>8052</v>
      </c>
      <c r="J270" s="3">
        <v>0.106</v>
      </c>
      <c r="K270" s="3">
        <v>16</v>
      </c>
      <c r="L270" s="3">
        <v>94.9</v>
      </c>
      <c r="M270" s="3">
        <v>0.65</v>
      </c>
      <c r="N270" s="4">
        <f t="shared" si="32"/>
        <v>0.65</v>
      </c>
      <c r="O270" s="3">
        <v>0</v>
      </c>
      <c r="P270" s="3">
        <v>3.6</v>
      </c>
      <c r="Q270" s="4">
        <f t="shared" si="33"/>
        <v>3.6</v>
      </c>
      <c r="R270" s="3">
        <v>660633.99</v>
      </c>
      <c r="S270" s="3">
        <v>118768.66</v>
      </c>
      <c r="X270" s="3">
        <v>48752.92</v>
      </c>
      <c r="Y270" s="3">
        <v>8052</v>
      </c>
      <c r="Z270" s="3">
        <v>94.9</v>
      </c>
      <c r="AA270" s="4">
        <f t="shared" si="34"/>
        <v>0</v>
      </c>
      <c r="AB270" s="4">
        <f t="shared" si="35"/>
        <v>0</v>
      </c>
      <c r="AC270" s="4">
        <f t="shared" si="36"/>
        <v>0</v>
      </c>
    </row>
    <row r="271" spans="1:29">
      <c r="A271" s="3" t="s">
        <v>89</v>
      </c>
      <c r="B271" s="5">
        <v>45689</v>
      </c>
      <c r="C271" s="3" t="s">
        <v>15</v>
      </c>
      <c r="D271" s="4">
        <f t="shared" si="37"/>
        <v>0</v>
      </c>
      <c r="E271" s="4">
        <f t="shared" si="38"/>
        <v>0</v>
      </c>
      <c r="F271" s="4">
        <f t="shared" si="39"/>
        <v>0</v>
      </c>
      <c r="G271" s="3" t="s">
        <v>28</v>
      </c>
      <c r="H271" s="3">
        <v>23914.97</v>
      </c>
      <c r="I271" s="3">
        <v>8018</v>
      </c>
      <c r="J271" s="3">
        <v>0.13900000000000001</v>
      </c>
      <c r="K271" s="3">
        <v>20</v>
      </c>
      <c r="L271" s="3">
        <v>89</v>
      </c>
      <c r="M271" s="3">
        <v>0.2</v>
      </c>
      <c r="N271" s="4">
        <f t="shared" si="32"/>
        <v>0.2</v>
      </c>
      <c r="O271" s="3">
        <v>0</v>
      </c>
      <c r="P271" s="3">
        <v>3.5</v>
      </c>
      <c r="Q271" s="4">
        <f t="shared" si="33"/>
        <v>3.5</v>
      </c>
      <c r="R271" s="3">
        <v>739374.56</v>
      </c>
      <c r="S271" s="3">
        <v>121032.29</v>
      </c>
      <c r="X271" s="3">
        <v>23914.97</v>
      </c>
      <c r="Y271" s="3">
        <v>8018</v>
      </c>
      <c r="Z271" s="3">
        <v>89</v>
      </c>
      <c r="AA271" s="4">
        <f t="shared" si="34"/>
        <v>0</v>
      </c>
      <c r="AB271" s="4">
        <f t="shared" si="35"/>
        <v>0</v>
      </c>
      <c r="AC271" s="4">
        <f t="shared" si="36"/>
        <v>0</v>
      </c>
    </row>
    <row r="272" spans="1:29">
      <c r="A272" s="3" t="s">
        <v>89</v>
      </c>
      <c r="B272" s="5">
        <v>45717</v>
      </c>
      <c r="C272" s="3" t="s">
        <v>15</v>
      </c>
      <c r="D272" s="4">
        <f t="shared" si="37"/>
        <v>0</v>
      </c>
      <c r="E272" s="4">
        <f t="shared" si="38"/>
        <v>0</v>
      </c>
      <c r="F272" s="4">
        <f t="shared" si="39"/>
        <v>0</v>
      </c>
      <c r="G272" s="3" t="s">
        <v>28</v>
      </c>
      <c r="H272" s="3">
        <v>61995.3</v>
      </c>
      <c r="I272" s="3">
        <v>10192</v>
      </c>
      <c r="J272" s="3">
        <v>0.19800000000000001</v>
      </c>
      <c r="K272" s="3">
        <v>21</v>
      </c>
      <c r="L272" s="3">
        <v>87.6</v>
      </c>
      <c r="M272" s="3">
        <v>3.63</v>
      </c>
      <c r="N272" s="4">
        <f t="shared" si="32"/>
        <v>3.63</v>
      </c>
      <c r="O272" s="3">
        <v>1</v>
      </c>
      <c r="P272" s="3">
        <v>3.8</v>
      </c>
      <c r="Q272" s="4">
        <f t="shared" si="33"/>
        <v>3.8</v>
      </c>
      <c r="R272" s="3">
        <v>799756.46</v>
      </c>
      <c r="S272" s="3">
        <v>105052.93</v>
      </c>
      <c r="X272" s="3">
        <v>61995.3</v>
      </c>
      <c r="Y272" s="3">
        <v>10192</v>
      </c>
      <c r="Z272" s="3">
        <v>87.6</v>
      </c>
      <c r="AA272" s="4">
        <f t="shared" si="34"/>
        <v>0</v>
      </c>
      <c r="AB272" s="4">
        <f t="shared" si="35"/>
        <v>0</v>
      </c>
      <c r="AC272" s="4">
        <f t="shared" si="36"/>
        <v>0</v>
      </c>
    </row>
    <row r="273" spans="1:29">
      <c r="A273" s="3" t="s">
        <v>89</v>
      </c>
      <c r="B273" s="5">
        <v>45748</v>
      </c>
      <c r="C273" s="3" t="s">
        <v>15</v>
      </c>
      <c r="D273" s="4">
        <f t="shared" si="37"/>
        <v>0</v>
      </c>
      <c r="E273" s="4">
        <f t="shared" si="38"/>
        <v>0</v>
      </c>
      <c r="F273" s="4">
        <f t="shared" si="39"/>
        <v>0</v>
      </c>
      <c r="G273" s="3" t="s">
        <v>28</v>
      </c>
      <c r="H273" s="3">
        <v>29344.93</v>
      </c>
      <c r="I273" s="3">
        <v>7446</v>
      </c>
      <c r="J273" s="3">
        <v>0.111</v>
      </c>
      <c r="K273" s="3">
        <v>15</v>
      </c>
      <c r="L273" s="3">
        <v>86.2</v>
      </c>
      <c r="M273" s="3">
        <v>0.2</v>
      </c>
      <c r="N273" s="4">
        <f t="shared" si="32"/>
        <v>0.2</v>
      </c>
      <c r="O273" s="3">
        <v>0</v>
      </c>
      <c r="P273" s="3">
        <v>3.2</v>
      </c>
      <c r="Q273" s="4">
        <f t="shared" si="33"/>
        <v>3.2</v>
      </c>
      <c r="R273" s="3">
        <v>593343</v>
      </c>
      <c r="S273" s="3">
        <v>82832.240000000005</v>
      </c>
      <c r="X273" s="3">
        <v>29344.93</v>
      </c>
      <c r="Y273" s="3">
        <v>7446</v>
      </c>
      <c r="Z273" s="3">
        <v>86.2</v>
      </c>
      <c r="AA273" s="4">
        <f t="shared" si="34"/>
        <v>0</v>
      </c>
      <c r="AB273" s="4">
        <f t="shared" si="35"/>
        <v>0</v>
      </c>
      <c r="AC273" s="4">
        <f t="shared" si="36"/>
        <v>0</v>
      </c>
    </row>
    <row r="274" spans="1:29">
      <c r="A274" s="3" t="s">
        <v>90</v>
      </c>
      <c r="B274" s="5">
        <v>45658</v>
      </c>
      <c r="C274" s="3" t="s">
        <v>27</v>
      </c>
      <c r="D274" s="4">
        <f t="shared" si="37"/>
        <v>0</v>
      </c>
      <c r="E274" s="4">
        <f t="shared" si="38"/>
        <v>0</v>
      </c>
      <c r="F274" s="4">
        <f t="shared" si="39"/>
        <v>1</v>
      </c>
      <c r="G274" s="3" t="s">
        <v>18</v>
      </c>
      <c r="H274" s="3">
        <v>50532.17</v>
      </c>
      <c r="I274" s="3">
        <v>5689</v>
      </c>
      <c r="J274" s="3">
        <v>5.1999999999999998E-2</v>
      </c>
      <c r="K274" s="3">
        <v>17</v>
      </c>
      <c r="L274" s="3">
        <v>85.6</v>
      </c>
      <c r="M274" s="3">
        <v>6.23</v>
      </c>
      <c r="N274" s="4">
        <f t="shared" si="32"/>
        <v>6.23</v>
      </c>
      <c r="O274" s="3">
        <v>0</v>
      </c>
      <c r="P274" s="3">
        <v>3.3</v>
      </c>
      <c r="Q274" s="4">
        <f t="shared" si="33"/>
        <v>3.3</v>
      </c>
      <c r="R274" s="3">
        <v>645039.97</v>
      </c>
      <c r="S274" s="3">
        <v>83093.33</v>
      </c>
      <c r="X274" s="3">
        <v>50532.17</v>
      </c>
      <c r="Y274" s="3">
        <v>5689</v>
      </c>
      <c r="Z274" s="3">
        <v>85.6</v>
      </c>
      <c r="AA274" s="4">
        <f t="shared" si="34"/>
        <v>0</v>
      </c>
      <c r="AB274" s="4">
        <f t="shared" si="35"/>
        <v>0</v>
      </c>
      <c r="AC274" s="4">
        <f t="shared" si="36"/>
        <v>0</v>
      </c>
    </row>
    <row r="275" spans="1:29">
      <c r="A275" s="3" t="s">
        <v>90</v>
      </c>
      <c r="B275" s="5">
        <v>45689</v>
      </c>
      <c r="C275" s="3" t="s">
        <v>27</v>
      </c>
      <c r="D275" s="4">
        <f t="shared" si="37"/>
        <v>0</v>
      </c>
      <c r="E275" s="4">
        <f t="shared" si="38"/>
        <v>0</v>
      </c>
      <c r="F275" s="4">
        <f t="shared" si="39"/>
        <v>1</v>
      </c>
      <c r="G275" s="3" t="s">
        <v>18</v>
      </c>
      <c r="H275" s="3">
        <v>17562.57</v>
      </c>
      <c r="I275" s="3">
        <v>3326</v>
      </c>
      <c r="J275" s="3">
        <v>0.153</v>
      </c>
      <c r="K275" s="3">
        <v>14</v>
      </c>
      <c r="L275" s="3">
        <v>88.1</v>
      </c>
      <c r="M275" s="3">
        <v>1.04</v>
      </c>
      <c r="N275" s="4">
        <f t="shared" si="32"/>
        <v>1.04</v>
      </c>
      <c r="O275" s="3">
        <v>0</v>
      </c>
      <c r="P275" s="3">
        <v>3.1</v>
      </c>
      <c r="Q275" s="4">
        <f t="shared" si="33"/>
        <v>3.1</v>
      </c>
      <c r="R275" s="3">
        <v>561597.32999999996</v>
      </c>
      <c r="S275" s="3">
        <v>75072.75</v>
      </c>
      <c r="X275" s="3">
        <v>17562.57</v>
      </c>
      <c r="Y275" s="3">
        <v>3326</v>
      </c>
      <c r="Z275" s="3">
        <v>88.1</v>
      </c>
      <c r="AA275" s="4">
        <f t="shared" si="34"/>
        <v>0</v>
      </c>
      <c r="AB275" s="4">
        <f t="shared" si="35"/>
        <v>0</v>
      </c>
      <c r="AC275" s="4">
        <f t="shared" si="36"/>
        <v>0</v>
      </c>
    </row>
    <row r="276" spans="1:29">
      <c r="A276" s="3" t="s">
        <v>90</v>
      </c>
      <c r="B276" s="5">
        <v>45717</v>
      </c>
      <c r="C276" s="3" t="s">
        <v>27</v>
      </c>
      <c r="D276" s="4">
        <f t="shared" si="37"/>
        <v>0</v>
      </c>
      <c r="E276" s="4">
        <f t="shared" si="38"/>
        <v>0</v>
      </c>
      <c r="F276" s="4">
        <f t="shared" si="39"/>
        <v>1</v>
      </c>
      <c r="G276" s="3" t="s">
        <v>18</v>
      </c>
      <c r="H276" s="3">
        <v>47648.71</v>
      </c>
      <c r="I276" s="3">
        <v>5767</v>
      </c>
      <c r="J276" s="3">
        <v>0.14099999999999999</v>
      </c>
      <c r="K276" s="3">
        <v>17</v>
      </c>
      <c r="L276" s="3">
        <v>89.8</v>
      </c>
      <c r="M276" s="3">
        <v>1.76</v>
      </c>
      <c r="N276" s="4">
        <f t="shared" si="32"/>
        <v>1.76</v>
      </c>
      <c r="O276" s="3">
        <v>0</v>
      </c>
      <c r="P276" s="3">
        <v>3.1</v>
      </c>
      <c r="Q276" s="4">
        <f t="shared" si="33"/>
        <v>3.1</v>
      </c>
      <c r="R276" s="3">
        <v>635837.74</v>
      </c>
      <c r="S276" s="3">
        <v>114740.64</v>
      </c>
      <c r="X276" s="3">
        <v>47648.71</v>
      </c>
      <c r="Y276" s="3">
        <v>5767</v>
      </c>
      <c r="Z276" s="3">
        <v>89.8</v>
      </c>
      <c r="AA276" s="4">
        <f t="shared" si="34"/>
        <v>0</v>
      </c>
      <c r="AB276" s="4">
        <f t="shared" si="35"/>
        <v>0</v>
      </c>
      <c r="AC276" s="4">
        <f t="shared" si="36"/>
        <v>0</v>
      </c>
    </row>
    <row r="277" spans="1:29">
      <c r="A277" s="3" t="s">
        <v>90</v>
      </c>
      <c r="B277" s="5">
        <v>45748</v>
      </c>
      <c r="C277" s="3" t="s">
        <v>27</v>
      </c>
      <c r="D277" s="4">
        <f t="shared" si="37"/>
        <v>0</v>
      </c>
      <c r="E277" s="4">
        <f t="shared" si="38"/>
        <v>0</v>
      </c>
      <c r="F277" s="4">
        <f t="shared" si="39"/>
        <v>1</v>
      </c>
      <c r="G277" s="3" t="s">
        <v>18</v>
      </c>
      <c r="H277" s="3">
        <v>38297.58</v>
      </c>
      <c r="I277" s="3">
        <v>5893</v>
      </c>
      <c r="J277" s="3">
        <v>0.247</v>
      </c>
      <c r="K277" s="3">
        <v>18</v>
      </c>
      <c r="L277" s="3">
        <v>77.599999999999994</v>
      </c>
      <c r="M277" s="3">
        <v>2.86</v>
      </c>
      <c r="N277" s="4">
        <f t="shared" si="32"/>
        <v>2.86</v>
      </c>
      <c r="O277" s="3">
        <v>0</v>
      </c>
      <c r="P277" s="3">
        <v>3</v>
      </c>
      <c r="Q277" s="4">
        <f t="shared" si="33"/>
        <v>3</v>
      </c>
      <c r="R277" s="3">
        <v>686737.87</v>
      </c>
      <c r="S277" s="3">
        <v>83839.67</v>
      </c>
      <c r="X277" s="3">
        <v>38297.58</v>
      </c>
      <c r="Y277" s="3">
        <v>5893</v>
      </c>
      <c r="Z277" s="3">
        <v>77.599999999999994</v>
      </c>
      <c r="AA277" s="4">
        <f t="shared" si="34"/>
        <v>0</v>
      </c>
      <c r="AB277" s="4">
        <f t="shared" si="35"/>
        <v>0</v>
      </c>
      <c r="AC277" s="4">
        <f t="shared" si="36"/>
        <v>0</v>
      </c>
    </row>
    <row r="278" spans="1:29">
      <c r="A278" s="3" t="s">
        <v>91</v>
      </c>
      <c r="B278" s="5">
        <v>45658</v>
      </c>
      <c r="C278" s="3" t="s">
        <v>24</v>
      </c>
      <c r="D278" s="4">
        <f t="shared" si="37"/>
        <v>0</v>
      </c>
      <c r="E278" s="4">
        <f t="shared" si="38"/>
        <v>1</v>
      </c>
      <c r="F278" s="4">
        <f t="shared" si="39"/>
        <v>0</v>
      </c>
      <c r="G278" s="3" t="s">
        <v>16</v>
      </c>
      <c r="H278" s="3">
        <v>61784.11</v>
      </c>
      <c r="I278" s="3">
        <v>8564</v>
      </c>
      <c r="J278" s="3">
        <v>0.13</v>
      </c>
      <c r="K278" s="3">
        <v>17</v>
      </c>
      <c r="L278" s="3">
        <v>87.4</v>
      </c>
      <c r="M278" s="3">
        <v>18.14</v>
      </c>
      <c r="N278" s="4">
        <f t="shared" si="32"/>
        <v>18.14</v>
      </c>
      <c r="O278" s="3">
        <v>1</v>
      </c>
      <c r="P278" s="3">
        <v>3.4</v>
      </c>
      <c r="Q278" s="4">
        <f t="shared" si="33"/>
        <v>3.4</v>
      </c>
      <c r="R278" s="3">
        <v>673076.34</v>
      </c>
      <c r="S278" s="3">
        <v>93899.76</v>
      </c>
      <c r="X278" s="3">
        <v>61784.11</v>
      </c>
      <c r="Y278" s="3">
        <v>8564</v>
      </c>
      <c r="Z278" s="3">
        <v>87.4</v>
      </c>
      <c r="AA278" s="4">
        <f t="shared" si="34"/>
        <v>0</v>
      </c>
      <c r="AB278" s="4">
        <f t="shared" si="35"/>
        <v>0</v>
      </c>
      <c r="AC278" s="4">
        <f t="shared" si="36"/>
        <v>0</v>
      </c>
    </row>
    <row r="279" spans="1:29">
      <c r="A279" s="3" t="s">
        <v>91</v>
      </c>
      <c r="B279" s="5">
        <v>45689</v>
      </c>
      <c r="C279" s="3" t="s">
        <v>24</v>
      </c>
      <c r="D279" s="4">
        <f t="shared" si="37"/>
        <v>0</v>
      </c>
      <c r="E279" s="4">
        <f t="shared" si="38"/>
        <v>1</v>
      </c>
      <c r="F279" s="4">
        <f t="shared" si="39"/>
        <v>0</v>
      </c>
      <c r="G279" s="3" t="s">
        <v>16</v>
      </c>
      <c r="H279" s="3">
        <v>36832.33</v>
      </c>
      <c r="I279" s="3">
        <v>8001</v>
      </c>
      <c r="J279" s="3">
        <v>0</v>
      </c>
      <c r="K279" s="3">
        <v>19</v>
      </c>
      <c r="L279" s="3">
        <v>88.7</v>
      </c>
      <c r="M279" s="3">
        <v>3.39</v>
      </c>
      <c r="N279" s="4">
        <f t="shared" si="32"/>
        <v>3.39</v>
      </c>
      <c r="O279" s="3">
        <v>0</v>
      </c>
      <c r="P279" s="3">
        <v>4</v>
      </c>
      <c r="Q279" s="4">
        <f t="shared" si="33"/>
        <v>4</v>
      </c>
      <c r="R279" s="3">
        <v>738548.42</v>
      </c>
      <c r="S279" s="3">
        <v>134282.76999999999</v>
      </c>
      <c r="X279" s="3">
        <v>36832.33</v>
      </c>
      <c r="Y279" s="3">
        <v>8001</v>
      </c>
      <c r="Z279" s="3">
        <v>88.7</v>
      </c>
      <c r="AA279" s="4">
        <f t="shared" si="34"/>
        <v>0</v>
      </c>
      <c r="AB279" s="4">
        <f t="shared" si="35"/>
        <v>0</v>
      </c>
      <c r="AC279" s="4">
        <f t="shared" si="36"/>
        <v>0</v>
      </c>
    </row>
    <row r="280" spans="1:29">
      <c r="A280" s="3" t="s">
        <v>91</v>
      </c>
      <c r="B280" s="5">
        <v>45717</v>
      </c>
      <c r="C280" s="3" t="s">
        <v>24</v>
      </c>
      <c r="D280" s="4">
        <f t="shared" si="37"/>
        <v>0</v>
      </c>
      <c r="E280" s="4">
        <f t="shared" si="38"/>
        <v>1</v>
      </c>
      <c r="F280" s="4">
        <f t="shared" si="39"/>
        <v>0</v>
      </c>
      <c r="G280" s="3" t="s">
        <v>16</v>
      </c>
      <c r="H280" s="3">
        <v>48609.41</v>
      </c>
      <c r="I280" s="3">
        <v>9324</v>
      </c>
      <c r="J280" s="3">
        <v>0.21299999999999999</v>
      </c>
      <c r="K280" s="3">
        <v>18</v>
      </c>
      <c r="L280" s="3">
        <v>86.5</v>
      </c>
      <c r="M280" s="3">
        <v>1.44</v>
      </c>
      <c r="N280" s="4">
        <f t="shared" si="32"/>
        <v>1.44</v>
      </c>
      <c r="O280" s="3">
        <v>0</v>
      </c>
      <c r="P280" s="3">
        <v>3.9</v>
      </c>
      <c r="Q280" s="4">
        <f t="shared" si="33"/>
        <v>3.9</v>
      </c>
      <c r="R280" s="3">
        <v>756619.77</v>
      </c>
      <c r="S280" s="3">
        <v>112057.69</v>
      </c>
      <c r="X280" s="3">
        <v>48609.41</v>
      </c>
      <c r="Y280" s="3">
        <v>9324</v>
      </c>
      <c r="Z280" s="3">
        <v>86.5</v>
      </c>
      <c r="AA280" s="4">
        <f t="shared" si="34"/>
        <v>0</v>
      </c>
      <c r="AB280" s="4">
        <f t="shared" si="35"/>
        <v>0</v>
      </c>
      <c r="AC280" s="4">
        <f t="shared" si="36"/>
        <v>0</v>
      </c>
    </row>
    <row r="281" spans="1:29">
      <c r="A281" s="3" t="s">
        <v>91</v>
      </c>
      <c r="B281" s="5">
        <v>45748</v>
      </c>
      <c r="C281" s="3" t="s">
        <v>24</v>
      </c>
      <c r="D281" s="4">
        <f t="shared" si="37"/>
        <v>0</v>
      </c>
      <c r="E281" s="4">
        <f t="shared" si="38"/>
        <v>1</v>
      </c>
      <c r="F281" s="4">
        <f t="shared" si="39"/>
        <v>0</v>
      </c>
      <c r="G281" s="3" t="s">
        <v>16</v>
      </c>
      <c r="H281" s="3">
        <v>70284.06</v>
      </c>
      <c r="I281" s="3">
        <v>9109</v>
      </c>
      <c r="J281" s="3">
        <v>4.0000000000000001E-3</v>
      </c>
      <c r="K281" s="3">
        <v>23</v>
      </c>
      <c r="L281" s="3">
        <v>87</v>
      </c>
      <c r="M281" s="3">
        <v>3.65</v>
      </c>
      <c r="N281" s="4">
        <f t="shared" si="32"/>
        <v>3.65</v>
      </c>
      <c r="O281" s="3">
        <v>0</v>
      </c>
      <c r="P281" s="3">
        <v>3.7</v>
      </c>
      <c r="Q281" s="4">
        <f t="shared" si="33"/>
        <v>3.7</v>
      </c>
      <c r="R281" s="3">
        <v>761122.42</v>
      </c>
      <c r="S281" s="3">
        <v>149802.04</v>
      </c>
      <c r="X281" s="3">
        <v>70284.06</v>
      </c>
      <c r="Y281" s="3">
        <v>9109</v>
      </c>
      <c r="Z281" s="3">
        <v>87</v>
      </c>
      <c r="AA281" s="4">
        <f t="shared" si="34"/>
        <v>0</v>
      </c>
      <c r="AB281" s="4">
        <f t="shared" si="35"/>
        <v>0</v>
      </c>
      <c r="AC281" s="4">
        <f t="shared" si="36"/>
        <v>0</v>
      </c>
    </row>
    <row r="282" spans="1:29">
      <c r="A282" s="3" t="s">
        <v>92</v>
      </c>
      <c r="B282" s="5">
        <v>45658</v>
      </c>
      <c r="C282" s="3" t="s">
        <v>24</v>
      </c>
      <c r="D282" s="4">
        <f t="shared" si="37"/>
        <v>0</v>
      </c>
      <c r="E282" s="4">
        <f t="shared" si="38"/>
        <v>1</v>
      </c>
      <c r="F282" s="4">
        <f t="shared" si="39"/>
        <v>0</v>
      </c>
      <c r="G282" s="3" t="s">
        <v>18</v>
      </c>
      <c r="H282" s="3">
        <v>45940.39</v>
      </c>
      <c r="I282" s="3">
        <v>4022</v>
      </c>
      <c r="J282" s="3">
        <v>6.9000000000000006E-2</v>
      </c>
      <c r="K282" s="3">
        <v>10</v>
      </c>
      <c r="L282" s="3">
        <v>83</v>
      </c>
      <c r="M282" s="3">
        <v>1.23</v>
      </c>
      <c r="N282" s="4">
        <f t="shared" si="32"/>
        <v>1.23</v>
      </c>
      <c r="O282" s="3">
        <v>1</v>
      </c>
      <c r="P282" s="3">
        <v>3.8</v>
      </c>
      <c r="Q282" s="4">
        <f t="shared" si="33"/>
        <v>3.8</v>
      </c>
      <c r="R282" s="3">
        <v>524899.56999999995</v>
      </c>
      <c r="S282" s="3">
        <v>63619.98</v>
      </c>
      <c r="X282" s="3">
        <v>45940.39</v>
      </c>
      <c r="Y282" s="3">
        <v>4022</v>
      </c>
      <c r="Z282" s="3">
        <v>83</v>
      </c>
      <c r="AA282" s="4">
        <f t="shared" si="34"/>
        <v>0</v>
      </c>
      <c r="AB282" s="4">
        <f t="shared" si="35"/>
        <v>0</v>
      </c>
      <c r="AC282" s="4">
        <f t="shared" si="36"/>
        <v>0</v>
      </c>
    </row>
    <row r="283" spans="1:29">
      <c r="A283" s="3" t="s">
        <v>92</v>
      </c>
      <c r="B283" s="5">
        <v>45689</v>
      </c>
      <c r="C283" s="3" t="s">
        <v>24</v>
      </c>
      <c r="D283" s="4">
        <f t="shared" si="37"/>
        <v>0</v>
      </c>
      <c r="E283" s="4">
        <f t="shared" si="38"/>
        <v>1</v>
      </c>
      <c r="F283" s="4">
        <f t="shared" si="39"/>
        <v>0</v>
      </c>
      <c r="G283" s="3" t="s">
        <v>18</v>
      </c>
      <c r="H283" s="3">
        <v>34771.26</v>
      </c>
      <c r="I283" s="3">
        <v>4355</v>
      </c>
      <c r="J283" s="3">
        <v>5.0999999999999997E-2</v>
      </c>
      <c r="K283" s="3">
        <v>15</v>
      </c>
      <c r="L283" s="3">
        <v>87.9</v>
      </c>
      <c r="M283" s="3">
        <v>3.09</v>
      </c>
      <c r="N283" s="4">
        <f t="shared" si="32"/>
        <v>3.09</v>
      </c>
      <c r="O283" s="3">
        <v>0</v>
      </c>
      <c r="P283" s="3">
        <v>4</v>
      </c>
      <c r="Q283" s="4">
        <f t="shared" si="33"/>
        <v>4</v>
      </c>
      <c r="R283" s="3">
        <v>555557.77</v>
      </c>
      <c r="S283" s="3">
        <v>86475.51</v>
      </c>
      <c r="X283" s="3">
        <v>34771.26</v>
      </c>
      <c r="Y283" s="3">
        <v>4355</v>
      </c>
      <c r="Z283" s="3">
        <v>87.9</v>
      </c>
      <c r="AA283" s="4">
        <f t="shared" si="34"/>
        <v>0</v>
      </c>
      <c r="AB283" s="4">
        <f t="shared" si="35"/>
        <v>0</v>
      </c>
      <c r="AC283" s="4">
        <f t="shared" si="36"/>
        <v>0</v>
      </c>
    </row>
    <row r="284" spans="1:29">
      <c r="A284" s="3" t="s">
        <v>92</v>
      </c>
      <c r="B284" s="5">
        <v>45717</v>
      </c>
      <c r="C284" s="3" t="s">
        <v>24</v>
      </c>
      <c r="D284" s="4">
        <f t="shared" si="37"/>
        <v>0</v>
      </c>
      <c r="E284" s="4">
        <f t="shared" si="38"/>
        <v>1</v>
      </c>
      <c r="F284" s="4">
        <f t="shared" si="39"/>
        <v>0</v>
      </c>
      <c r="G284" s="3" t="s">
        <v>18</v>
      </c>
      <c r="H284" s="3">
        <v>66104.19</v>
      </c>
      <c r="I284" s="3">
        <v>5745</v>
      </c>
      <c r="J284" s="3">
        <v>7.0000000000000007E-2</v>
      </c>
      <c r="K284" s="3">
        <v>17</v>
      </c>
      <c r="L284" s="3">
        <v>95.8</v>
      </c>
      <c r="M284" s="3">
        <v>3.15</v>
      </c>
      <c r="N284" s="4">
        <f t="shared" si="32"/>
        <v>3.15</v>
      </c>
      <c r="O284" s="3">
        <v>0</v>
      </c>
      <c r="P284" s="3">
        <v>4</v>
      </c>
      <c r="Q284" s="4">
        <f t="shared" si="33"/>
        <v>4</v>
      </c>
      <c r="R284" s="3">
        <v>714083.68</v>
      </c>
      <c r="S284" s="3">
        <v>127231.74</v>
      </c>
      <c r="X284" s="3">
        <v>66104.19</v>
      </c>
      <c r="Y284" s="3">
        <v>5745</v>
      </c>
      <c r="Z284" s="3">
        <v>95.8</v>
      </c>
      <c r="AA284" s="4">
        <f t="shared" si="34"/>
        <v>0</v>
      </c>
      <c r="AB284" s="4">
        <f t="shared" si="35"/>
        <v>0</v>
      </c>
      <c r="AC284" s="4">
        <f t="shared" si="36"/>
        <v>0</v>
      </c>
    </row>
    <row r="285" spans="1:29">
      <c r="A285" s="3" t="s">
        <v>92</v>
      </c>
      <c r="B285" s="5">
        <v>45748</v>
      </c>
      <c r="C285" s="3" t="s">
        <v>24</v>
      </c>
      <c r="D285" s="4">
        <f t="shared" si="37"/>
        <v>0</v>
      </c>
      <c r="E285" s="4">
        <f t="shared" si="38"/>
        <v>1</v>
      </c>
      <c r="F285" s="4">
        <f t="shared" si="39"/>
        <v>0</v>
      </c>
      <c r="G285" s="3" t="s">
        <v>18</v>
      </c>
      <c r="H285" s="3">
        <v>18599.21</v>
      </c>
      <c r="I285" s="3">
        <v>3027</v>
      </c>
      <c r="J285" s="3">
        <v>0.122</v>
      </c>
      <c r="K285" s="3">
        <v>11</v>
      </c>
      <c r="L285" s="3">
        <v>80.900000000000006</v>
      </c>
      <c r="M285" s="3">
        <v>6.44</v>
      </c>
      <c r="N285" s="4">
        <f t="shared" si="32"/>
        <v>6.44</v>
      </c>
      <c r="O285" s="3">
        <v>0</v>
      </c>
      <c r="P285" s="3">
        <v>4.2</v>
      </c>
      <c r="Q285" s="4">
        <f t="shared" si="33"/>
        <v>4.2</v>
      </c>
      <c r="R285" s="3">
        <v>497439.82</v>
      </c>
      <c r="S285" s="3">
        <v>93372.75</v>
      </c>
      <c r="X285" s="3">
        <v>18599.21</v>
      </c>
      <c r="Y285" s="3">
        <v>3027</v>
      </c>
      <c r="Z285" s="3">
        <v>80.900000000000006</v>
      </c>
      <c r="AA285" s="4">
        <f t="shared" si="34"/>
        <v>0</v>
      </c>
      <c r="AB285" s="4">
        <f t="shared" si="35"/>
        <v>0</v>
      </c>
      <c r="AC285" s="4">
        <f t="shared" si="36"/>
        <v>0</v>
      </c>
    </row>
    <row r="286" spans="1:29">
      <c r="A286" s="3" t="s">
        <v>93</v>
      </c>
      <c r="B286" s="5">
        <v>45658</v>
      </c>
      <c r="C286" s="3" t="s">
        <v>27</v>
      </c>
      <c r="D286" s="4">
        <f t="shared" si="37"/>
        <v>0</v>
      </c>
      <c r="E286" s="4">
        <f t="shared" si="38"/>
        <v>0</v>
      </c>
      <c r="F286" s="4">
        <f t="shared" si="39"/>
        <v>1</v>
      </c>
      <c r="G286" s="3" t="s">
        <v>16</v>
      </c>
      <c r="H286" s="3">
        <v>60183.06</v>
      </c>
      <c r="I286" s="3">
        <v>5562</v>
      </c>
      <c r="J286" s="3">
        <v>8.9999999999999993E-3</v>
      </c>
      <c r="K286" s="3">
        <v>13</v>
      </c>
      <c r="L286" s="3">
        <v>86.3</v>
      </c>
      <c r="M286" s="3">
        <v>0.2</v>
      </c>
      <c r="N286" s="4">
        <f t="shared" si="32"/>
        <v>0.2</v>
      </c>
      <c r="O286" s="3">
        <v>1</v>
      </c>
      <c r="P286" s="3">
        <v>4.5</v>
      </c>
      <c r="Q286" s="4">
        <f t="shared" si="33"/>
        <v>4.5</v>
      </c>
      <c r="R286" s="3">
        <v>636775.66</v>
      </c>
      <c r="S286" s="3">
        <v>122636.86</v>
      </c>
      <c r="X286" s="3">
        <v>60183.06</v>
      </c>
      <c r="Y286" s="3">
        <v>5562</v>
      </c>
      <c r="Z286" s="3">
        <v>86.3</v>
      </c>
      <c r="AA286" s="4">
        <f t="shared" si="34"/>
        <v>0</v>
      </c>
      <c r="AB286" s="4">
        <f t="shared" si="35"/>
        <v>0</v>
      </c>
      <c r="AC286" s="4">
        <f t="shared" si="36"/>
        <v>0</v>
      </c>
    </row>
    <row r="287" spans="1:29">
      <c r="A287" s="3" t="s">
        <v>93</v>
      </c>
      <c r="B287" s="5">
        <v>45689</v>
      </c>
      <c r="C287" s="3" t="s">
        <v>27</v>
      </c>
      <c r="D287" s="4">
        <f t="shared" si="37"/>
        <v>0</v>
      </c>
      <c r="E287" s="4">
        <f t="shared" si="38"/>
        <v>0</v>
      </c>
      <c r="F287" s="4">
        <f t="shared" si="39"/>
        <v>1</v>
      </c>
      <c r="G287" s="3" t="s">
        <v>16</v>
      </c>
      <c r="H287" s="3">
        <v>74539.14</v>
      </c>
      <c r="I287" s="3">
        <v>4487</v>
      </c>
      <c r="J287" s="3">
        <v>0.14000000000000001</v>
      </c>
      <c r="K287" s="3">
        <v>10</v>
      </c>
      <c r="L287" s="3">
        <v>90.4</v>
      </c>
      <c r="M287" s="3">
        <v>0.59</v>
      </c>
      <c r="N287" s="4">
        <f t="shared" si="32"/>
        <v>0.59</v>
      </c>
      <c r="O287" s="3">
        <v>0</v>
      </c>
      <c r="P287" s="3">
        <v>4.5</v>
      </c>
      <c r="Q287" s="4">
        <f t="shared" si="33"/>
        <v>4.5</v>
      </c>
      <c r="R287" s="3">
        <v>633009.53</v>
      </c>
      <c r="S287" s="3">
        <v>123782.67</v>
      </c>
      <c r="X287" s="3">
        <v>74539.14</v>
      </c>
      <c r="Y287" s="3">
        <v>4487</v>
      </c>
      <c r="Z287" s="3">
        <v>90.4</v>
      </c>
      <c r="AA287" s="4">
        <f t="shared" si="34"/>
        <v>0</v>
      </c>
      <c r="AB287" s="4">
        <f t="shared" si="35"/>
        <v>0</v>
      </c>
      <c r="AC287" s="4">
        <f t="shared" si="36"/>
        <v>0</v>
      </c>
    </row>
    <row r="288" spans="1:29">
      <c r="A288" s="3" t="s">
        <v>93</v>
      </c>
      <c r="B288" s="5">
        <v>45717</v>
      </c>
      <c r="C288" s="3" t="s">
        <v>27</v>
      </c>
      <c r="D288" s="4">
        <f t="shared" si="37"/>
        <v>0</v>
      </c>
      <c r="E288" s="4">
        <f t="shared" si="38"/>
        <v>0</v>
      </c>
      <c r="F288" s="4">
        <f t="shared" si="39"/>
        <v>1</v>
      </c>
      <c r="G288" s="3" t="s">
        <v>16</v>
      </c>
      <c r="H288" s="3">
        <v>55371.97</v>
      </c>
      <c r="I288" s="3">
        <v>4162</v>
      </c>
      <c r="J288" s="3">
        <v>0.183</v>
      </c>
      <c r="K288" s="3">
        <v>11</v>
      </c>
      <c r="L288" s="3">
        <v>92</v>
      </c>
      <c r="M288" s="3">
        <v>0.2</v>
      </c>
      <c r="N288" s="4">
        <f t="shared" si="32"/>
        <v>0.2</v>
      </c>
      <c r="O288" s="3">
        <v>1</v>
      </c>
      <c r="P288" s="3">
        <v>4.2</v>
      </c>
      <c r="Q288" s="4">
        <f t="shared" si="33"/>
        <v>4.2</v>
      </c>
      <c r="R288" s="3">
        <v>609949</v>
      </c>
      <c r="S288" s="3">
        <v>126789.25</v>
      </c>
      <c r="X288" s="3">
        <v>55371.97</v>
      </c>
      <c r="Y288" s="3">
        <v>4162</v>
      </c>
      <c r="Z288" s="3">
        <v>92</v>
      </c>
      <c r="AA288" s="4">
        <f t="shared" si="34"/>
        <v>0</v>
      </c>
      <c r="AB288" s="4">
        <f t="shared" si="35"/>
        <v>0</v>
      </c>
      <c r="AC288" s="4">
        <f t="shared" si="36"/>
        <v>0</v>
      </c>
    </row>
    <row r="289" spans="1:29">
      <c r="A289" s="3" t="s">
        <v>93</v>
      </c>
      <c r="B289" s="5">
        <v>45748</v>
      </c>
      <c r="C289" s="3" t="s">
        <v>27</v>
      </c>
      <c r="D289" s="4">
        <f t="shared" si="37"/>
        <v>0</v>
      </c>
      <c r="E289" s="4">
        <f t="shared" si="38"/>
        <v>0</v>
      </c>
      <c r="F289" s="4">
        <f t="shared" si="39"/>
        <v>1</v>
      </c>
      <c r="G289" s="3" t="s">
        <v>16</v>
      </c>
      <c r="H289" s="3">
        <v>40928.69</v>
      </c>
      <c r="I289" s="3">
        <v>4094</v>
      </c>
      <c r="J289" s="3">
        <v>0.17399999999999999</v>
      </c>
      <c r="K289" s="3">
        <v>13</v>
      </c>
      <c r="L289" s="3">
        <v>82.4</v>
      </c>
      <c r="M289" s="3">
        <v>1.36</v>
      </c>
      <c r="N289" s="4">
        <f t="shared" si="32"/>
        <v>1.36</v>
      </c>
      <c r="O289" s="3">
        <v>0</v>
      </c>
      <c r="P289" s="3">
        <v>4.8</v>
      </c>
      <c r="Q289" s="4">
        <f t="shared" si="33"/>
        <v>4.8</v>
      </c>
      <c r="R289" s="3">
        <v>548103.69999999995</v>
      </c>
      <c r="S289" s="3">
        <v>99905.52</v>
      </c>
      <c r="X289" s="3">
        <v>40928.69</v>
      </c>
      <c r="Y289" s="3">
        <v>4094</v>
      </c>
      <c r="Z289" s="3">
        <v>82.4</v>
      </c>
      <c r="AA289" s="4">
        <f t="shared" si="34"/>
        <v>0</v>
      </c>
      <c r="AB289" s="4">
        <f t="shared" si="35"/>
        <v>0</v>
      </c>
      <c r="AC289" s="4">
        <f t="shared" si="36"/>
        <v>0</v>
      </c>
    </row>
    <row r="290" spans="1:29">
      <c r="A290" s="3" t="s">
        <v>94</v>
      </c>
      <c r="B290" s="5">
        <v>45658</v>
      </c>
      <c r="C290" s="3" t="s">
        <v>15</v>
      </c>
      <c r="D290" s="4">
        <f t="shared" si="37"/>
        <v>0</v>
      </c>
      <c r="E290" s="4">
        <f t="shared" si="38"/>
        <v>0</v>
      </c>
      <c r="F290" s="4">
        <f t="shared" si="39"/>
        <v>0</v>
      </c>
      <c r="G290" s="3" t="s">
        <v>16</v>
      </c>
      <c r="H290" s="3">
        <v>70012.41</v>
      </c>
      <c r="I290" s="3">
        <v>8484</v>
      </c>
      <c r="J290" s="3">
        <v>0.27300000000000002</v>
      </c>
      <c r="K290" s="3">
        <v>23</v>
      </c>
      <c r="L290" s="3">
        <v>72.900000000000006</v>
      </c>
      <c r="M290" s="3">
        <v>3.34</v>
      </c>
      <c r="N290" s="4">
        <f t="shared" si="32"/>
        <v>3.34</v>
      </c>
      <c r="O290" s="3">
        <v>0</v>
      </c>
      <c r="P290" s="3">
        <v>3.7</v>
      </c>
      <c r="Q290" s="4">
        <f t="shared" si="33"/>
        <v>3.7</v>
      </c>
      <c r="R290" s="3">
        <v>729424.42</v>
      </c>
      <c r="S290" s="3">
        <v>75592.28</v>
      </c>
      <c r="X290" s="3">
        <v>70012.41</v>
      </c>
      <c r="Y290" s="3">
        <v>8484</v>
      </c>
      <c r="Z290" s="3">
        <v>72.900000000000006</v>
      </c>
      <c r="AA290" s="4">
        <f t="shared" si="34"/>
        <v>0</v>
      </c>
      <c r="AB290" s="4">
        <f t="shared" si="35"/>
        <v>0</v>
      </c>
      <c r="AC290" s="4">
        <f t="shared" si="36"/>
        <v>0</v>
      </c>
    </row>
    <row r="291" spans="1:29">
      <c r="A291" s="3" t="s">
        <v>94</v>
      </c>
      <c r="B291" s="5">
        <v>45689</v>
      </c>
      <c r="C291" s="3" t="s">
        <v>15</v>
      </c>
      <c r="D291" s="4">
        <f t="shared" si="37"/>
        <v>0</v>
      </c>
      <c r="E291" s="4">
        <f t="shared" si="38"/>
        <v>0</v>
      </c>
      <c r="F291" s="4">
        <f t="shared" si="39"/>
        <v>0</v>
      </c>
      <c r="G291" s="3" t="s">
        <v>16</v>
      </c>
      <c r="H291" s="3">
        <v>68909.259999999995</v>
      </c>
      <c r="I291" s="3">
        <v>7794</v>
      </c>
      <c r="J291" s="3">
        <v>0.28399999999999997</v>
      </c>
      <c r="K291" s="3">
        <v>22</v>
      </c>
      <c r="L291" s="3">
        <v>89</v>
      </c>
      <c r="M291" s="3">
        <v>0.33</v>
      </c>
      <c r="N291" s="4">
        <f t="shared" si="32"/>
        <v>0.33</v>
      </c>
      <c r="O291" s="3">
        <v>0</v>
      </c>
      <c r="P291" s="3">
        <v>4</v>
      </c>
      <c r="Q291" s="4">
        <f t="shared" si="33"/>
        <v>4</v>
      </c>
      <c r="R291" s="3">
        <v>696261.49</v>
      </c>
      <c r="S291" s="3">
        <v>72455.350000000006</v>
      </c>
      <c r="X291" s="3">
        <v>68909.259999999995</v>
      </c>
      <c r="Y291" s="3">
        <v>7794</v>
      </c>
      <c r="Z291" s="3">
        <v>89</v>
      </c>
      <c r="AA291" s="4">
        <f t="shared" si="34"/>
        <v>0</v>
      </c>
      <c r="AB291" s="4">
        <f t="shared" si="35"/>
        <v>0</v>
      </c>
      <c r="AC291" s="4">
        <f t="shared" si="36"/>
        <v>0</v>
      </c>
    </row>
    <row r="292" spans="1:29">
      <c r="A292" s="3" t="s">
        <v>94</v>
      </c>
      <c r="B292" s="5">
        <v>45717</v>
      </c>
      <c r="C292" s="3" t="s">
        <v>15</v>
      </c>
      <c r="D292" s="4">
        <f t="shared" si="37"/>
        <v>0</v>
      </c>
      <c r="E292" s="4">
        <f t="shared" si="38"/>
        <v>0</v>
      </c>
      <c r="F292" s="4">
        <f t="shared" si="39"/>
        <v>0</v>
      </c>
      <c r="G292" s="3" t="s">
        <v>16</v>
      </c>
      <c r="H292" s="3">
        <v>56737.3</v>
      </c>
      <c r="I292" s="3">
        <v>8300</v>
      </c>
      <c r="J292" s="3">
        <v>3.2000000000000001E-2</v>
      </c>
      <c r="K292" s="3">
        <v>21</v>
      </c>
      <c r="L292" s="3">
        <v>83.2</v>
      </c>
      <c r="M292" s="3">
        <v>3.44</v>
      </c>
      <c r="N292" s="4">
        <f t="shared" si="32"/>
        <v>3.44</v>
      </c>
      <c r="O292" s="3">
        <v>1</v>
      </c>
      <c r="P292" s="3">
        <v>4.3</v>
      </c>
      <c r="Q292" s="4">
        <f t="shared" si="33"/>
        <v>4.3</v>
      </c>
      <c r="R292" s="3">
        <v>813316.71</v>
      </c>
      <c r="S292" s="3">
        <v>110077.42</v>
      </c>
      <c r="X292" s="3">
        <v>56737.3</v>
      </c>
      <c r="Y292" s="3">
        <v>8300</v>
      </c>
      <c r="Z292" s="3">
        <v>83.2</v>
      </c>
      <c r="AA292" s="4">
        <f t="shared" si="34"/>
        <v>0</v>
      </c>
      <c r="AB292" s="4">
        <f t="shared" si="35"/>
        <v>0</v>
      </c>
      <c r="AC292" s="4">
        <f t="shared" si="36"/>
        <v>0</v>
      </c>
    </row>
    <row r="293" spans="1:29">
      <c r="A293" s="3" t="s">
        <v>94</v>
      </c>
      <c r="B293" s="5">
        <v>45748</v>
      </c>
      <c r="C293" s="3" t="s">
        <v>15</v>
      </c>
      <c r="D293" s="4">
        <f t="shared" si="37"/>
        <v>0</v>
      </c>
      <c r="E293" s="4">
        <f t="shared" si="38"/>
        <v>0</v>
      </c>
      <c r="F293" s="4">
        <f t="shared" si="39"/>
        <v>0</v>
      </c>
      <c r="G293" s="3" t="s">
        <v>16</v>
      </c>
      <c r="H293" s="3">
        <v>54080.91</v>
      </c>
      <c r="I293" s="3">
        <v>7083</v>
      </c>
      <c r="J293" s="3">
        <v>0</v>
      </c>
      <c r="K293" s="3">
        <v>15</v>
      </c>
      <c r="L293" s="3">
        <v>97</v>
      </c>
      <c r="M293" s="3">
        <v>5.33</v>
      </c>
      <c r="N293" s="4">
        <f t="shared" si="32"/>
        <v>5.33</v>
      </c>
      <c r="O293" s="3">
        <v>0</v>
      </c>
      <c r="P293" s="3">
        <v>4.0999999999999996</v>
      </c>
      <c r="Q293" s="4">
        <f t="shared" si="33"/>
        <v>4.0999999999999996</v>
      </c>
      <c r="R293" s="3">
        <v>702068.92</v>
      </c>
      <c r="S293" s="3">
        <v>111266.63</v>
      </c>
      <c r="X293" s="3">
        <v>54080.91</v>
      </c>
      <c r="Y293" s="3">
        <v>7083</v>
      </c>
      <c r="Z293" s="3">
        <v>97</v>
      </c>
      <c r="AA293" s="4">
        <f t="shared" si="34"/>
        <v>0</v>
      </c>
      <c r="AB293" s="4">
        <f t="shared" si="35"/>
        <v>0</v>
      </c>
      <c r="AC293" s="4">
        <f t="shared" si="36"/>
        <v>0</v>
      </c>
    </row>
    <row r="294" spans="1:29">
      <c r="A294" s="3" t="s">
        <v>95</v>
      </c>
      <c r="B294" s="5">
        <v>45658</v>
      </c>
      <c r="C294" s="3" t="s">
        <v>27</v>
      </c>
      <c r="D294" s="4">
        <f t="shared" si="37"/>
        <v>0</v>
      </c>
      <c r="E294" s="4">
        <f t="shared" si="38"/>
        <v>0</v>
      </c>
      <c r="F294" s="4">
        <f t="shared" si="39"/>
        <v>1</v>
      </c>
      <c r="G294" s="3" t="s">
        <v>18</v>
      </c>
      <c r="H294" s="3">
        <v>51996.32</v>
      </c>
      <c r="I294" s="3">
        <v>3834</v>
      </c>
      <c r="J294" s="3">
        <v>9.6000000000000002E-2</v>
      </c>
      <c r="K294" s="3">
        <v>8</v>
      </c>
      <c r="L294" s="3">
        <v>86.7</v>
      </c>
      <c r="M294" s="3">
        <v>6.04</v>
      </c>
      <c r="N294" s="4">
        <f t="shared" si="32"/>
        <v>6.04</v>
      </c>
      <c r="O294" s="3">
        <v>0</v>
      </c>
      <c r="P294" s="3">
        <v>4.5</v>
      </c>
      <c r="Q294" s="4">
        <f t="shared" si="33"/>
        <v>4.5</v>
      </c>
      <c r="R294" s="3">
        <v>546223.69999999995</v>
      </c>
      <c r="S294" s="3">
        <v>100769.17</v>
      </c>
      <c r="X294" s="3">
        <v>51996.32</v>
      </c>
      <c r="Y294" s="3">
        <v>3834</v>
      </c>
      <c r="Z294" s="3">
        <v>86.7</v>
      </c>
      <c r="AA294" s="4">
        <f t="shared" si="34"/>
        <v>0</v>
      </c>
      <c r="AB294" s="4">
        <f t="shared" si="35"/>
        <v>0</v>
      </c>
      <c r="AC294" s="4">
        <f t="shared" si="36"/>
        <v>0</v>
      </c>
    </row>
    <row r="295" spans="1:29">
      <c r="A295" s="3" t="s">
        <v>95</v>
      </c>
      <c r="B295" s="5">
        <v>45689</v>
      </c>
      <c r="C295" s="3" t="s">
        <v>27</v>
      </c>
      <c r="D295" s="4">
        <f t="shared" si="37"/>
        <v>0</v>
      </c>
      <c r="E295" s="4">
        <f t="shared" si="38"/>
        <v>0</v>
      </c>
      <c r="F295" s="4">
        <f t="shared" si="39"/>
        <v>1</v>
      </c>
      <c r="G295" s="3" t="s">
        <v>18</v>
      </c>
      <c r="H295" s="3">
        <v>40102.879999999997</v>
      </c>
      <c r="I295" s="3">
        <v>2358</v>
      </c>
      <c r="J295" s="3">
        <v>0.11899999999999999</v>
      </c>
      <c r="K295" s="3">
        <v>9</v>
      </c>
      <c r="L295" s="3">
        <v>88.7</v>
      </c>
      <c r="M295" s="3">
        <v>1.6</v>
      </c>
      <c r="N295" s="4">
        <f t="shared" si="32"/>
        <v>1.6</v>
      </c>
      <c r="O295" s="3">
        <v>0</v>
      </c>
      <c r="P295" s="3">
        <v>4.2</v>
      </c>
      <c r="Q295" s="4">
        <f t="shared" si="33"/>
        <v>4.2</v>
      </c>
      <c r="R295" s="3">
        <v>533121.26</v>
      </c>
      <c r="S295" s="3">
        <v>55063.39</v>
      </c>
      <c r="X295" s="3">
        <v>40102.879999999997</v>
      </c>
      <c r="Y295" s="3">
        <v>2358</v>
      </c>
      <c r="Z295" s="3">
        <v>88.7</v>
      </c>
      <c r="AA295" s="4">
        <f t="shared" si="34"/>
        <v>0</v>
      </c>
      <c r="AB295" s="4">
        <f t="shared" si="35"/>
        <v>0</v>
      </c>
      <c r="AC295" s="4">
        <f t="shared" si="36"/>
        <v>0</v>
      </c>
    </row>
    <row r="296" spans="1:29">
      <c r="A296" s="3" t="s">
        <v>95</v>
      </c>
      <c r="B296" s="5">
        <v>45717</v>
      </c>
      <c r="C296" s="3" t="s">
        <v>27</v>
      </c>
      <c r="D296" s="4">
        <f t="shared" si="37"/>
        <v>0</v>
      </c>
      <c r="E296" s="4">
        <f t="shared" si="38"/>
        <v>0</v>
      </c>
      <c r="F296" s="4">
        <f t="shared" si="39"/>
        <v>1</v>
      </c>
      <c r="G296" s="3" t="s">
        <v>18</v>
      </c>
      <c r="H296" s="3">
        <v>59825.51</v>
      </c>
      <c r="I296" s="3">
        <v>1231</v>
      </c>
      <c r="J296" s="3">
        <v>0.214</v>
      </c>
      <c r="K296" s="3">
        <v>10</v>
      </c>
      <c r="L296" s="3">
        <v>84.8</v>
      </c>
      <c r="M296" s="3">
        <v>8.9600000000000009</v>
      </c>
      <c r="N296" s="4">
        <f t="shared" si="32"/>
        <v>8.9600000000000009</v>
      </c>
      <c r="O296" s="3">
        <v>0</v>
      </c>
      <c r="P296" s="3">
        <v>4.7</v>
      </c>
      <c r="Q296" s="4">
        <f t="shared" si="33"/>
        <v>4.7</v>
      </c>
      <c r="R296" s="3">
        <v>498970.32</v>
      </c>
      <c r="S296" s="3">
        <v>69656.7</v>
      </c>
      <c r="X296" s="3">
        <v>59825.51</v>
      </c>
      <c r="Y296" s="3">
        <v>1231</v>
      </c>
      <c r="Z296" s="3">
        <v>84.8</v>
      </c>
      <c r="AA296" s="4">
        <f t="shared" si="34"/>
        <v>0</v>
      </c>
      <c r="AB296" s="4">
        <f t="shared" si="35"/>
        <v>0</v>
      </c>
      <c r="AC296" s="4">
        <f t="shared" si="36"/>
        <v>0</v>
      </c>
    </row>
    <row r="297" spans="1:29">
      <c r="A297" s="3" t="s">
        <v>95</v>
      </c>
      <c r="B297" s="5">
        <v>45748</v>
      </c>
      <c r="C297" s="3" t="s">
        <v>27</v>
      </c>
      <c r="D297" s="4">
        <f t="shared" si="37"/>
        <v>0</v>
      </c>
      <c r="E297" s="4">
        <f t="shared" si="38"/>
        <v>0</v>
      </c>
      <c r="F297" s="4">
        <f t="shared" si="39"/>
        <v>1</v>
      </c>
      <c r="G297" s="3" t="s">
        <v>18</v>
      </c>
      <c r="H297" s="3">
        <v>27398.28</v>
      </c>
      <c r="I297" s="3">
        <v>1723</v>
      </c>
      <c r="J297" s="3">
        <v>0.17100000000000001</v>
      </c>
      <c r="K297" s="3">
        <v>9</v>
      </c>
      <c r="L297" s="3">
        <v>81</v>
      </c>
      <c r="M297" s="3">
        <v>0.74</v>
      </c>
      <c r="N297" s="4">
        <f t="shared" si="32"/>
        <v>0.74</v>
      </c>
      <c r="O297" s="3">
        <v>0</v>
      </c>
      <c r="P297" s="3">
        <v>4.5999999999999996</v>
      </c>
      <c r="Q297" s="4">
        <f t="shared" si="33"/>
        <v>4.5999999999999996</v>
      </c>
      <c r="R297" s="3">
        <v>487738.26</v>
      </c>
      <c r="S297" s="3">
        <v>96435.6</v>
      </c>
      <c r="X297" s="3">
        <v>27398.28</v>
      </c>
      <c r="Y297" s="3">
        <v>1723</v>
      </c>
      <c r="Z297" s="3">
        <v>81</v>
      </c>
      <c r="AA297" s="4">
        <f t="shared" si="34"/>
        <v>0</v>
      </c>
      <c r="AB297" s="4">
        <f t="shared" si="35"/>
        <v>0</v>
      </c>
      <c r="AC297" s="4">
        <f t="shared" si="36"/>
        <v>0</v>
      </c>
    </row>
    <row r="298" spans="1:29">
      <c r="A298" s="3" t="s">
        <v>96</v>
      </c>
      <c r="B298" s="5">
        <v>45658</v>
      </c>
      <c r="C298" s="3" t="s">
        <v>27</v>
      </c>
      <c r="D298" s="4">
        <f t="shared" si="37"/>
        <v>0</v>
      </c>
      <c r="E298" s="4">
        <f t="shared" si="38"/>
        <v>0</v>
      </c>
      <c r="F298" s="4">
        <f t="shared" si="39"/>
        <v>1</v>
      </c>
      <c r="G298" s="3" t="s">
        <v>18</v>
      </c>
      <c r="H298" s="3">
        <v>55599.56</v>
      </c>
      <c r="I298" s="3">
        <v>5896</v>
      </c>
      <c r="J298" s="3">
        <v>3.5999999999999997E-2</v>
      </c>
      <c r="K298" s="3">
        <v>12</v>
      </c>
      <c r="L298" s="3">
        <v>93.1</v>
      </c>
      <c r="M298" s="3">
        <v>6.13</v>
      </c>
      <c r="N298" s="4">
        <f t="shared" si="32"/>
        <v>6.13</v>
      </c>
      <c r="O298" s="3">
        <v>0</v>
      </c>
      <c r="P298" s="3">
        <v>3.3</v>
      </c>
      <c r="Q298" s="4">
        <f t="shared" si="33"/>
        <v>3.3</v>
      </c>
      <c r="R298" s="3">
        <v>668459.37</v>
      </c>
      <c r="S298" s="3">
        <v>126435.42</v>
      </c>
      <c r="X298" s="3">
        <v>55599.56</v>
      </c>
      <c r="Y298" s="3">
        <v>5896</v>
      </c>
      <c r="Z298" s="3">
        <v>93.1</v>
      </c>
      <c r="AA298" s="4">
        <f t="shared" si="34"/>
        <v>0</v>
      </c>
      <c r="AB298" s="4">
        <f t="shared" si="35"/>
        <v>0</v>
      </c>
      <c r="AC298" s="4">
        <f t="shared" si="36"/>
        <v>0</v>
      </c>
    </row>
    <row r="299" spans="1:29">
      <c r="A299" s="3" t="s">
        <v>96</v>
      </c>
      <c r="B299" s="5">
        <v>45689</v>
      </c>
      <c r="C299" s="3" t="s">
        <v>27</v>
      </c>
      <c r="D299" s="4">
        <f t="shared" si="37"/>
        <v>0</v>
      </c>
      <c r="E299" s="4">
        <f t="shared" si="38"/>
        <v>0</v>
      </c>
      <c r="F299" s="4">
        <f t="shared" si="39"/>
        <v>1</v>
      </c>
      <c r="G299" s="3" t="s">
        <v>18</v>
      </c>
      <c r="H299" s="3">
        <v>55477.61</v>
      </c>
      <c r="I299" s="3">
        <v>5903</v>
      </c>
      <c r="J299" s="3">
        <v>0.10199999999999999</v>
      </c>
      <c r="K299" s="3">
        <v>14</v>
      </c>
      <c r="L299" s="3">
        <v>96.2</v>
      </c>
      <c r="M299" s="3">
        <v>1.41</v>
      </c>
      <c r="N299" s="4">
        <f t="shared" ref="N299:N321" si="40">IF(M299="",MEDIAN($M$2:$M$321),M299)</f>
        <v>1.41</v>
      </c>
      <c r="O299" s="3">
        <v>0</v>
      </c>
      <c r="P299" s="3">
        <v>3.3</v>
      </c>
      <c r="Q299" s="4">
        <f t="shared" si="33"/>
        <v>3.3</v>
      </c>
      <c r="R299" s="3">
        <v>763162.45</v>
      </c>
      <c r="S299" s="3">
        <v>162524.04999999999</v>
      </c>
      <c r="X299" s="3">
        <v>55477.61</v>
      </c>
      <c r="Y299" s="3">
        <v>5903</v>
      </c>
      <c r="Z299" s="3">
        <v>96.2</v>
      </c>
      <c r="AA299" s="4">
        <f t="shared" si="34"/>
        <v>0</v>
      </c>
      <c r="AB299" s="4">
        <f t="shared" si="35"/>
        <v>0</v>
      </c>
      <c r="AC299" s="4">
        <f t="shared" si="36"/>
        <v>0</v>
      </c>
    </row>
    <row r="300" spans="1:29">
      <c r="A300" s="3" t="s">
        <v>96</v>
      </c>
      <c r="B300" s="5">
        <v>45717</v>
      </c>
      <c r="C300" s="3" t="s">
        <v>27</v>
      </c>
      <c r="D300" s="4">
        <f t="shared" si="37"/>
        <v>0</v>
      </c>
      <c r="E300" s="4">
        <f t="shared" si="38"/>
        <v>0</v>
      </c>
      <c r="F300" s="4">
        <f t="shared" si="39"/>
        <v>1</v>
      </c>
      <c r="G300" s="3" t="s">
        <v>18</v>
      </c>
      <c r="H300" s="3">
        <v>46174.7</v>
      </c>
      <c r="I300" s="3">
        <v>4898</v>
      </c>
      <c r="J300" s="3">
        <v>0.114</v>
      </c>
      <c r="K300" s="3">
        <v>11</v>
      </c>
      <c r="L300" s="3">
        <v>91.7</v>
      </c>
      <c r="M300" s="3">
        <v>3.75</v>
      </c>
      <c r="N300" s="4">
        <f t="shared" si="40"/>
        <v>3.75</v>
      </c>
      <c r="O300" s="3">
        <v>0</v>
      </c>
      <c r="P300" s="3">
        <v>3.1</v>
      </c>
      <c r="Q300" s="4">
        <f t="shared" si="33"/>
        <v>3.1</v>
      </c>
      <c r="R300" s="3">
        <v>599017.32999999996</v>
      </c>
      <c r="S300" s="3">
        <v>134009.92000000001</v>
      </c>
      <c r="X300" s="3">
        <v>46174.7</v>
      </c>
      <c r="Y300" s="3">
        <v>4898</v>
      </c>
      <c r="Z300" s="3">
        <v>91.7</v>
      </c>
      <c r="AA300" s="4">
        <f t="shared" si="34"/>
        <v>0</v>
      </c>
      <c r="AB300" s="4">
        <f t="shared" si="35"/>
        <v>0</v>
      </c>
      <c r="AC300" s="4">
        <f t="shared" si="36"/>
        <v>0</v>
      </c>
    </row>
    <row r="301" spans="1:29">
      <c r="A301" s="3" t="s">
        <v>96</v>
      </c>
      <c r="B301" s="5">
        <v>45748</v>
      </c>
      <c r="C301" s="3" t="s">
        <v>27</v>
      </c>
      <c r="D301" s="4">
        <f t="shared" si="37"/>
        <v>0</v>
      </c>
      <c r="E301" s="4">
        <f t="shared" si="38"/>
        <v>0</v>
      </c>
      <c r="F301" s="4">
        <f t="shared" si="39"/>
        <v>1</v>
      </c>
      <c r="G301" s="3" t="s">
        <v>18</v>
      </c>
      <c r="H301" s="3">
        <v>24362.98</v>
      </c>
      <c r="I301" s="3">
        <v>1462</v>
      </c>
      <c r="J301" s="3">
        <v>0.11700000000000001</v>
      </c>
      <c r="K301" s="3">
        <v>6</v>
      </c>
      <c r="L301" s="3">
        <v>89.3</v>
      </c>
      <c r="M301" s="3">
        <v>15.06</v>
      </c>
      <c r="N301" s="4">
        <f t="shared" si="40"/>
        <v>15.06</v>
      </c>
      <c r="O301" s="3">
        <v>0</v>
      </c>
      <c r="P301" s="3">
        <v>3.2</v>
      </c>
      <c r="Q301" s="4">
        <f t="shared" si="33"/>
        <v>3.2</v>
      </c>
      <c r="R301" s="3">
        <v>401582.58</v>
      </c>
      <c r="S301" s="3">
        <v>68454.929999999993</v>
      </c>
      <c r="X301" s="3">
        <v>24362.98</v>
      </c>
      <c r="Y301" s="3">
        <v>1462</v>
      </c>
      <c r="Z301" s="3">
        <v>89.3</v>
      </c>
      <c r="AA301" s="4">
        <f t="shared" si="34"/>
        <v>0</v>
      </c>
      <c r="AB301" s="4">
        <f t="shared" si="35"/>
        <v>0</v>
      </c>
      <c r="AC301" s="4">
        <f t="shared" si="36"/>
        <v>0</v>
      </c>
    </row>
    <row r="302" spans="1:29">
      <c r="A302" s="3" t="s">
        <v>97</v>
      </c>
      <c r="B302" s="5">
        <v>45658</v>
      </c>
      <c r="C302" s="3" t="s">
        <v>20</v>
      </c>
      <c r="D302" s="4">
        <f t="shared" si="37"/>
        <v>1</v>
      </c>
      <c r="E302" s="4">
        <f t="shared" si="38"/>
        <v>0</v>
      </c>
      <c r="F302" s="4">
        <f t="shared" si="39"/>
        <v>0</v>
      </c>
      <c r="G302" s="3" t="s">
        <v>28</v>
      </c>
      <c r="H302" s="3">
        <v>40647.67</v>
      </c>
      <c r="I302" s="3">
        <v>8252</v>
      </c>
      <c r="J302" s="3">
        <v>0.14099999999999999</v>
      </c>
      <c r="K302" s="3">
        <v>22</v>
      </c>
      <c r="L302" s="3">
        <v>88.2</v>
      </c>
      <c r="M302" s="3">
        <v>5.07</v>
      </c>
      <c r="N302" s="4">
        <f t="shared" si="40"/>
        <v>5.07</v>
      </c>
      <c r="O302" s="3">
        <v>1</v>
      </c>
      <c r="P302" s="3">
        <v>4.0999999999999996</v>
      </c>
      <c r="Q302" s="4">
        <f t="shared" si="33"/>
        <v>4.0999999999999996</v>
      </c>
      <c r="R302" s="3">
        <v>703812.99</v>
      </c>
      <c r="S302" s="3">
        <v>133577.98000000001</v>
      </c>
      <c r="X302" s="3">
        <v>40647.67</v>
      </c>
      <c r="Y302" s="3">
        <v>8252</v>
      </c>
      <c r="Z302" s="3">
        <v>88.2</v>
      </c>
      <c r="AA302" s="4">
        <f t="shared" si="34"/>
        <v>0</v>
      </c>
      <c r="AB302" s="4">
        <f t="shared" si="35"/>
        <v>0</v>
      </c>
      <c r="AC302" s="4">
        <f t="shared" si="36"/>
        <v>0</v>
      </c>
    </row>
    <row r="303" spans="1:29">
      <c r="A303" s="3" t="s">
        <v>97</v>
      </c>
      <c r="B303" s="5">
        <v>45689</v>
      </c>
      <c r="C303" s="3" t="s">
        <v>20</v>
      </c>
      <c r="D303" s="4">
        <f t="shared" si="37"/>
        <v>1</v>
      </c>
      <c r="E303" s="4">
        <f t="shared" si="38"/>
        <v>0</v>
      </c>
      <c r="F303" s="4">
        <f t="shared" si="39"/>
        <v>0</v>
      </c>
      <c r="G303" s="3" t="s">
        <v>28</v>
      </c>
      <c r="H303" s="3">
        <v>63986.98</v>
      </c>
      <c r="I303" s="3">
        <v>7989</v>
      </c>
      <c r="J303" s="3">
        <v>7.3999999999999996E-2</v>
      </c>
      <c r="K303" s="3">
        <v>20</v>
      </c>
      <c r="L303" s="3">
        <v>83.3</v>
      </c>
      <c r="M303" s="3">
        <v>3.6</v>
      </c>
      <c r="N303" s="4">
        <f t="shared" si="40"/>
        <v>3.6</v>
      </c>
      <c r="O303" s="3">
        <v>0</v>
      </c>
      <c r="P303" s="3">
        <v>3.7</v>
      </c>
      <c r="Q303" s="4">
        <f t="shared" si="33"/>
        <v>3.7</v>
      </c>
      <c r="R303" s="3">
        <v>724346.73</v>
      </c>
      <c r="S303" s="3">
        <v>155013.91</v>
      </c>
      <c r="X303" s="3">
        <v>63986.98</v>
      </c>
      <c r="Y303" s="3">
        <v>7989</v>
      </c>
      <c r="Z303" s="3">
        <v>83.3</v>
      </c>
      <c r="AA303" s="4">
        <f t="shared" si="34"/>
        <v>0</v>
      </c>
      <c r="AB303" s="4">
        <f t="shared" si="35"/>
        <v>0</v>
      </c>
      <c r="AC303" s="4">
        <f t="shared" si="36"/>
        <v>0</v>
      </c>
    </row>
    <row r="304" spans="1:29">
      <c r="A304" s="3" t="s">
        <v>97</v>
      </c>
      <c r="B304" s="5">
        <v>45717</v>
      </c>
      <c r="C304" s="3" t="s">
        <v>20</v>
      </c>
      <c r="D304" s="4">
        <f t="shared" si="37"/>
        <v>1</v>
      </c>
      <c r="E304" s="4">
        <f t="shared" si="38"/>
        <v>0</v>
      </c>
      <c r="F304" s="4">
        <f t="shared" si="39"/>
        <v>0</v>
      </c>
      <c r="G304" s="3" t="s">
        <v>28</v>
      </c>
      <c r="H304" s="3">
        <v>52843.75</v>
      </c>
      <c r="I304" s="3">
        <v>8268</v>
      </c>
      <c r="J304" s="3">
        <v>0.13800000000000001</v>
      </c>
      <c r="K304" s="3">
        <v>19</v>
      </c>
      <c r="L304" s="3">
        <v>87.3</v>
      </c>
      <c r="M304" s="3">
        <v>4.3899999999999997</v>
      </c>
      <c r="N304" s="4">
        <f t="shared" si="40"/>
        <v>4.3899999999999997</v>
      </c>
      <c r="O304" s="3">
        <v>1</v>
      </c>
      <c r="P304" s="3">
        <v>4.7</v>
      </c>
      <c r="Q304" s="4">
        <f t="shared" si="33"/>
        <v>4.7</v>
      </c>
      <c r="R304" s="3">
        <v>730890.01</v>
      </c>
      <c r="S304" s="3">
        <v>105502.56</v>
      </c>
      <c r="X304" s="3">
        <v>52843.75</v>
      </c>
      <c r="Y304" s="3">
        <v>8268</v>
      </c>
      <c r="Z304" s="3">
        <v>87.3</v>
      </c>
      <c r="AA304" s="4">
        <f t="shared" si="34"/>
        <v>0</v>
      </c>
      <c r="AB304" s="4">
        <f t="shared" si="35"/>
        <v>0</v>
      </c>
      <c r="AC304" s="4">
        <f t="shared" si="36"/>
        <v>0</v>
      </c>
    </row>
    <row r="305" spans="1:29">
      <c r="A305" s="3" t="s">
        <v>97</v>
      </c>
      <c r="B305" s="5">
        <v>45748</v>
      </c>
      <c r="C305" s="3" t="s">
        <v>20</v>
      </c>
      <c r="D305" s="4">
        <f t="shared" si="37"/>
        <v>1</v>
      </c>
      <c r="E305" s="4">
        <f t="shared" si="38"/>
        <v>0</v>
      </c>
      <c r="F305" s="4">
        <f t="shared" si="39"/>
        <v>0</v>
      </c>
      <c r="G305" s="3" t="s">
        <v>28</v>
      </c>
      <c r="H305" s="3">
        <v>31997.25</v>
      </c>
      <c r="I305" s="3">
        <v>8183</v>
      </c>
      <c r="J305" s="3">
        <v>0.19800000000000001</v>
      </c>
      <c r="K305" s="3">
        <v>18</v>
      </c>
      <c r="L305" s="3">
        <v>93</v>
      </c>
      <c r="M305" s="3">
        <v>2.79</v>
      </c>
      <c r="N305" s="4">
        <f t="shared" si="40"/>
        <v>2.79</v>
      </c>
      <c r="O305" s="3">
        <v>0</v>
      </c>
      <c r="P305" s="3">
        <v>4.2</v>
      </c>
      <c r="Q305" s="4">
        <f t="shared" si="33"/>
        <v>4.2</v>
      </c>
      <c r="R305" s="3">
        <v>780580.95</v>
      </c>
      <c r="S305" s="3">
        <v>138144.46</v>
      </c>
      <c r="X305" s="3">
        <v>31997.25</v>
      </c>
      <c r="Y305" s="3">
        <v>8183</v>
      </c>
      <c r="Z305" s="3">
        <v>93</v>
      </c>
      <c r="AA305" s="4">
        <f t="shared" si="34"/>
        <v>0</v>
      </c>
      <c r="AB305" s="4">
        <f t="shared" si="35"/>
        <v>0</v>
      </c>
      <c r="AC305" s="4">
        <f t="shared" si="36"/>
        <v>0</v>
      </c>
    </row>
    <row r="306" spans="1:29">
      <c r="A306" s="3" t="s">
        <v>98</v>
      </c>
      <c r="B306" s="5">
        <v>45658</v>
      </c>
      <c r="C306" s="3" t="s">
        <v>24</v>
      </c>
      <c r="D306" s="4">
        <f t="shared" si="37"/>
        <v>0</v>
      </c>
      <c r="E306" s="4">
        <f t="shared" si="38"/>
        <v>1</v>
      </c>
      <c r="F306" s="4">
        <f t="shared" si="39"/>
        <v>0</v>
      </c>
      <c r="G306" s="3" t="s">
        <v>16</v>
      </c>
      <c r="H306" s="3">
        <v>54948.02</v>
      </c>
      <c r="I306" s="3">
        <v>6534</v>
      </c>
      <c r="J306" s="3">
        <v>0.183</v>
      </c>
      <c r="K306" s="3">
        <v>14</v>
      </c>
      <c r="L306" s="3">
        <v>94.5</v>
      </c>
      <c r="M306" s="3">
        <v>1.56</v>
      </c>
      <c r="N306" s="4">
        <f t="shared" si="40"/>
        <v>1.56</v>
      </c>
      <c r="O306" s="3">
        <v>0</v>
      </c>
      <c r="P306" s="3">
        <v>4</v>
      </c>
      <c r="Q306" s="4">
        <f t="shared" si="33"/>
        <v>4</v>
      </c>
      <c r="R306" s="3">
        <v>727957.48</v>
      </c>
      <c r="S306" s="3">
        <v>74805.23</v>
      </c>
      <c r="X306" s="3">
        <v>54948.02</v>
      </c>
      <c r="Y306" s="3">
        <v>6534</v>
      </c>
      <c r="Z306" s="3">
        <v>94.5</v>
      </c>
      <c r="AA306" s="4">
        <f t="shared" si="34"/>
        <v>0</v>
      </c>
      <c r="AB306" s="4">
        <f t="shared" si="35"/>
        <v>0</v>
      </c>
      <c r="AC306" s="4">
        <f t="shared" si="36"/>
        <v>0</v>
      </c>
    </row>
    <row r="307" spans="1:29">
      <c r="A307" s="3" t="s">
        <v>98</v>
      </c>
      <c r="B307" s="5">
        <v>45689</v>
      </c>
      <c r="C307" s="3" t="s">
        <v>24</v>
      </c>
      <c r="D307" s="4">
        <f t="shared" si="37"/>
        <v>0</v>
      </c>
      <c r="E307" s="4">
        <f t="shared" si="38"/>
        <v>1</v>
      </c>
      <c r="F307" s="4">
        <f t="shared" si="39"/>
        <v>0</v>
      </c>
      <c r="G307" s="3" t="s">
        <v>16</v>
      </c>
      <c r="H307" s="3">
        <v>46146.239999999998</v>
      </c>
      <c r="I307" s="3">
        <v>5804</v>
      </c>
      <c r="J307" s="3">
        <v>4.7E-2</v>
      </c>
      <c r="K307" s="3">
        <v>16</v>
      </c>
      <c r="L307" s="3">
        <v>86.9</v>
      </c>
      <c r="M307" s="3">
        <v>15.82</v>
      </c>
      <c r="N307" s="4">
        <f t="shared" si="40"/>
        <v>15.82</v>
      </c>
      <c r="O307" s="3">
        <v>0</v>
      </c>
      <c r="P307" s="3">
        <v>3.8</v>
      </c>
      <c r="Q307" s="4">
        <f t="shared" si="33"/>
        <v>3.8</v>
      </c>
      <c r="R307" s="3">
        <v>538376</v>
      </c>
      <c r="S307" s="3">
        <v>87605.62</v>
      </c>
      <c r="X307" s="3">
        <v>46146.239999999998</v>
      </c>
      <c r="Y307" s="3">
        <v>5804</v>
      </c>
      <c r="Z307" s="3">
        <v>86.9</v>
      </c>
      <c r="AA307" s="4">
        <f t="shared" si="34"/>
        <v>0</v>
      </c>
      <c r="AB307" s="4">
        <f t="shared" si="35"/>
        <v>0</v>
      </c>
      <c r="AC307" s="4">
        <f t="shared" si="36"/>
        <v>0</v>
      </c>
    </row>
    <row r="308" spans="1:29">
      <c r="A308" s="3" t="s">
        <v>98</v>
      </c>
      <c r="B308" s="5">
        <v>45717</v>
      </c>
      <c r="C308" s="3" t="s">
        <v>24</v>
      </c>
      <c r="D308" s="4">
        <f t="shared" si="37"/>
        <v>0</v>
      </c>
      <c r="E308" s="4">
        <f t="shared" si="38"/>
        <v>1</v>
      </c>
      <c r="F308" s="4">
        <f t="shared" si="39"/>
        <v>0</v>
      </c>
      <c r="G308" s="3" t="s">
        <v>16</v>
      </c>
      <c r="H308" s="3">
        <v>22387.26</v>
      </c>
      <c r="I308" s="3">
        <v>6301</v>
      </c>
      <c r="J308" s="3">
        <v>0.14599999999999999</v>
      </c>
      <c r="K308" s="3">
        <v>14</v>
      </c>
      <c r="L308" s="3">
        <v>85.9</v>
      </c>
      <c r="M308" s="3">
        <v>1.17</v>
      </c>
      <c r="N308" s="4">
        <f t="shared" si="40"/>
        <v>1.17</v>
      </c>
      <c r="O308" s="3">
        <v>1</v>
      </c>
      <c r="P308" s="3">
        <v>3.7</v>
      </c>
      <c r="Q308" s="4">
        <f t="shared" si="33"/>
        <v>3.7</v>
      </c>
      <c r="R308" s="3">
        <v>665342.49</v>
      </c>
      <c r="S308" s="3">
        <v>93441.81</v>
      </c>
      <c r="X308" s="3">
        <v>22387.26</v>
      </c>
      <c r="Y308" s="3">
        <v>6301</v>
      </c>
      <c r="Z308" s="3">
        <v>85.9</v>
      </c>
      <c r="AA308" s="4">
        <f t="shared" si="34"/>
        <v>0</v>
      </c>
      <c r="AB308" s="4">
        <f t="shared" si="35"/>
        <v>0</v>
      </c>
      <c r="AC308" s="4">
        <f t="shared" si="36"/>
        <v>0</v>
      </c>
    </row>
    <row r="309" spans="1:29">
      <c r="A309" s="3" t="s">
        <v>98</v>
      </c>
      <c r="B309" s="5">
        <v>45748</v>
      </c>
      <c r="C309" s="3" t="s">
        <v>24</v>
      </c>
      <c r="D309" s="4">
        <f t="shared" si="37"/>
        <v>0</v>
      </c>
      <c r="E309" s="4">
        <f t="shared" si="38"/>
        <v>1</v>
      </c>
      <c r="F309" s="4">
        <f t="shared" si="39"/>
        <v>0</v>
      </c>
      <c r="G309" s="3" t="s">
        <v>16</v>
      </c>
      <c r="H309" s="3">
        <v>60684.05</v>
      </c>
      <c r="I309" s="3">
        <v>6399</v>
      </c>
      <c r="J309" s="3">
        <v>7.4999999999999997E-2</v>
      </c>
      <c r="K309" s="3">
        <v>16</v>
      </c>
      <c r="L309" s="3">
        <v>99</v>
      </c>
      <c r="M309" s="3">
        <v>3.82</v>
      </c>
      <c r="N309" s="4">
        <f t="shared" si="40"/>
        <v>3.82</v>
      </c>
      <c r="O309" s="3">
        <v>0</v>
      </c>
      <c r="P309" s="3">
        <v>3.5</v>
      </c>
      <c r="Q309" s="4">
        <f t="shared" si="33"/>
        <v>3.5</v>
      </c>
      <c r="R309" s="3">
        <v>651164.18000000005</v>
      </c>
      <c r="S309" s="3">
        <v>109466.5</v>
      </c>
      <c r="X309" s="3">
        <v>60684.05</v>
      </c>
      <c r="Y309" s="3">
        <v>6399</v>
      </c>
      <c r="Z309" s="3">
        <v>99</v>
      </c>
      <c r="AA309" s="4">
        <f t="shared" si="34"/>
        <v>0</v>
      </c>
      <c r="AB309" s="4">
        <f t="shared" si="35"/>
        <v>0</v>
      </c>
      <c r="AC309" s="4">
        <f t="shared" si="36"/>
        <v>0</v>
      </c>
    </row>
    <row r="310" spans="1:29">
      <c r="A310" s="3" t="s">
        <v>99</v>
      </c>
      <c r="B310" s="5">
        <v>45658</v>
      </c>
      <c r="C310" s="3" t="s">
        <v>24</v>
      </c>
      <c r="D310" s="4">
        <f t="shared" si="37"/>
        <v>0</v>
      </c>
      <c r="E310" s="4">
        <f t="shared" si="38"/>
        <v>1</v>
      </c>
      <c r="F310" s="4">
        <f t="shared" si="39"/>
        <v>0</v>
      </c>
      <c r="G310" s="3" t="s">
        <v>18</v>
      </c>
      <c r="H310" s="3">
        <v>48465.599999999999</v>
      </c>
      <c r="I310" s="3">
        <v>5759</v>
      </c>
      <c r="J310" s="3">
        <v>0.154</v>
      </c>
      <c r="K310" s="3">
        <v>13</v>
      </c>
      <c r="L310" s="3">
        <v>87.5</v>
      </c>
      <c r="M310" s="3">
        <v>4.1399999999999997</v>
      </c>
      <c r="N310" s="4">
        <f t="shared" si="40"/>
        <v>4.1399999999999997</v>
      </c>
      <c r="O310" s="3">
        <v>0</v>
      </c>
      <c r="P310" s="3">
        <v>4</v>
      </c>
      <c r="Q310" s="4">
        <f t="shared" si="33"/>
        <v>4</v>
      </c>
      <c r="R310" s="3">
        <v>628538.30000000005</v>
      </c>
      <c r="S310" s="3">
        <v>112509.15</v>
      </c>
      <c r="X310" s="3">
        <v>48465.599999999999</v>
      </c>
      <c r="Y310" s="3">
        <v>5759</v>
      </c>
      <c r="Z310" s="3">
        <v>87.5</v>
      </c>
      <c r="AA310" s="4">
        <f t="shared" si="34"/>
        <v>0</v>
      </c>
      <c r="AB310" s="4">
        <f t="shared" si="35"/>
        <v>0</v>
      </c>
      <c r="AC310" s="4">
        <f t="shared" si="36"/>
        <v>0</v>
      </c>
    </row>
    <row r="311" spans="1:29">
      <c r="A311" s="3" t="s">
        <v>99</v>
      </c>
      <c r="B311" s="5">
        <v>45689</v>
      </c>
      <c r="C311" s="3" t="s">
        <v>24</v>
      </c>
      <c r="D311" s="4">
        <f t="shared" si="37"/>
        <v>0</v>
      </c>
      <c r="E311" s="4">
        <f t="shared" si="38"/>
        <v>1</v>
      </c>
      <c r="F311" s="4">
        <f t="shared" si="39"/>
        <v>0</v>
      </c>
      <c r="G311" s="3" t="s">
        <v>18</v>
      </c>
      <c r="H311" s="3">
        <v>23702.38</v>
      </c>
      <c r="I311" s="3">
        <v>5285</v>
      </c>
      <c r="J311" s="3">
        <v>0.16700000000000001</v>
      </c>
      <c r="K311" s="3">
        <v>14</v>
      </c>
      <c r="L311" s="3">
        <v>79.7</v>
      </c>
      <c r="M311" s="3">
        <v>1.1000000000000001</v>
      </c>
      <c r="N311" s="4">
        <f t="shared" si="40"/>
        <v>1.1000000000000001</v>
      </c>
      <c r="O311" s="3">
        <v>0</v>
      </c>
      <c r="P311" s="3">
        <v>4.3</v>
      </c>
      <c r="Q311" s="4">
        <f t="shared" si="33"/>
        <v>4.3</v>
      </c>
      <c r="R311" s="3">
        <v>536524.84</v>
      </c>
      <c r="S311" s="3">
        <v>92752.94</v>
      </c>
      <c r="X311" s="3">
        <v>23702.38</v>
      </c>
      <c r="Y311" s="3">
        <v>5285</v>
      </c>
      <c r="Z311" s="3">
        <v>79.7</v>
      </c>
      <c r="AA311" s="4">
        <f t="shared" si="34"/>
        <v>0</v>
      </c>
      <c r="AB311" s="4">
        <f t="shared" si="35"/>
        <v>0</v>
      </c>
      <c r="AC311" s="4">
        <f t="shared" si="36"/>
        <v>0</v>
      </c>
    </row>
    <row r="312" spans="1:29">
      <c r="A312" s="3" t="s">
        <v>99</v>
      </c>
      <c r="B312" s="5">
        <v>45717</v>
      </c>
      <c r="C312" s="3" t="s">
        <v>24</v>
      </c>
      <c r="D312" s="4">
        <f t="shared" si="37"/>
        <v>0</v>
      </c>
      <c r="E312" s="4">
        <f t="shared" si="38"/>
        <v>1</v>
      </c>
      <c r="F312" s="4">
        <f t="shared" si="39"/>
        <v>0</v>
      </c>
      <c r="G312" s="3" t="s">
        <v>18</v>
      </c>
      <c r="H312" s="3">
        <v>54322.94</v>
      </c>
      <c r="I312" s="3">
        <v>5434</v>
      </c>
      <c r="J312" s="3">
        <v>0.2</v>
      </c>
      <c r="K312" s="3">
        <v>13</v>
      </c>
      <c r="L312" s="3">
        <v>85.7</v>
      </c>
      <c r="M312" s="3">
        <v>10.6</v>
      </c>
      <c r="N312" s="4">
        <f t="shared" si="40"/>
        <v>10.6</v>
      </c>
      <c r="O312" s="3">
        <v>0</v>
      </c>
      <c r="P312" s="3">
        <v>4.2</v>
      </c>
      <c r="Q312" s="4">
        <f t="shared" si="33"/>
        <v>4.2</v>
      </c>
      <c r="R312" s="3">
        <v>621677.30000000005</v>
      </c>
      <c r="S312" s="3">
        <v>105192.52</v>
      </c>
      <c r="X312" s="3">
        <v>54322.94</v>
      </c>
      <c r="Y312" s="3">
        <v>5434</v>
      </c>
      <c r="Z312" s="3">
        <v>85.7</v>
      </c>
      <c r="AA312" s="4">
        <f t="shared" si="34"/>
        <v>0</v>
      </c>
      <c r="AB312" s="4">
        <f t="shared" si="35"/>
        <v>0</v>
      </c>
      <c r="AC312" s="4">
        <f t="shared" si="36"/>
        <v>0</v>
      </c>
    </row>
    <row r="313" spans="1:29">
      <c r="A313" s="3" t="s">
        <v>99</v>
      </c>
      <c r="B313" s="5">
        <v>45748</v>
      </c>
      <c r="C313" s="3" t="s">
        <v>24</v>
      </c>
      <c r="D313" s="4">
        <f t="shared" si="37"/>
        <v>0</v>
      </c>
      <c r="E313" s="4">
        <f t="shared" si="38"/>
        <v>1</v>
      </c>
      <c r="F313" s="4">
        <f t="shared" si="39"/>
        <v>0</v>
      </c>
      <c r="G313" s="3" t="s">
        <v>18</v>
      </c>
      <c r="H313" s="3">
        <v>86026.58</v>
      </c>
      <c r="I313" s="3">
        <v>7479</v>
      </c>
      <c r="J313" s="3">
        <v>0.14199999999999999</v>
      </c>
      <c r="K313" s="3">
        <v>20</v>
      </c>
      <c r="L313" s="3">
        <v>89</v>
      </c>
      <c r="M313" s="3">
        <v>0.9</v>
      </c>
      <c r="N313" s="4">
        <f t="shared" si="40"/>
        <v>0.9</v>
      </c>
      <c r="O313" s="3">
        <v>0</v>
      </c>
      <c r="P313" s="3"/>
      <c r="Q313" s="4">
        <f t="shared" si="33"/>
        <v>3.9</v>
      </c>
      <c r="R313" s="3">
        <v>771129.07</v>
      </c>
      <c r="S313" s="3">
        <v>116851.13</v>
      </c>
      <c r="X313" s="3">
        <v>86026.58</v>
      </c>
      <c r="Y313" s="3">
        <v>7479</v>
      </c>
      <c r="Z313" s="3">
        <v>89</v>
      </c>
      <c r="AA313" s="4">
        <f t="shared" si="34"/>
        <v>0</v>
      </c>
      <c r="AB313" s="4">
        <f t="shared" si="35"/>
        <v>0</v>
      </c>
      <c r="AC313" s="4">
        <f t="shared" si="36"/>
        <v>0</v>
      </c>
    </row>
    <row r="314" spans="1:29">
      <c r="A314" s="3" t="s">
        <v>100</v>
      </c>
      <c r="B314" s="5">
        <v>45658</v>
      </c>
      <c r="C314" s="3" t="s">
        <v>20</v>
      </c>
      <c r="D314" s="4">
        <f t="shared" si="37"/>
        <v>1</v>
      </c>
      <c r="E314" s="4">
        <f t="shared" si="38"/>
        <v>0</v>
      </c>
      <c r="F314" s="4">
        <f t="shared" si="39"/>
        <v>0</v>
      </c>
      <c r="G314" s="3" t="s">
        <v>16</v>
      </c>
      <c r="H314" s="3">
        <v>78967.520000000004</v>
      </c>
      <c r="I314" s="3">
        <v>6164</v>
      </c>
      <c r="J314" s="3">
        <v>2.1000000000000001E-2</v>
      </c>
      <c r="K314" s="3">
        <v>16</v>
      </c>
      <c r="L314" s="3">
        <v>85.5</v>
      </c>
      <c r="M314" s="3">
        <v>0.2</v>
      </c>
      <c r="N314" s="4">
        <f t="shared" si="40"/>
        <v>0.2</v>
      </c>
      <c r="O314" s="3">
        <v>0</v>
      </c>
      <c r="P314" s="3">
        <v>3.4</v>
      </c>
      <c r="Q314" s="4">
        <f t="shared" si="33"/>
        <v>3.4</v>
      </c>
      <c r="R314" s="3">
        <v>702052.47</v>
      </c>
      <c r="S314" s="3">
        <v>121732.51</v>
      </c>
      <c r="X314" s="3">
        <v>78967.520000000004</v>
      </c>
      <c r="Y314" s="3">
        <v>6164</v>
      </c>
      <c r="Z314" s="3">
        <v>85.5</v>
      </c>
      <c r="AA314" s="4">
        <f t="shared" si="34"/>
        <v>0</v>
      </c>
      <c r="AB314" s="4">
        <f t="shared" si="35"/>
        <v>0</v>
      </c>
      <c r="AC314" s="4">
        <f t="shared" si="36"/>
        <v>0</v>
      </c>
    </row>
    <row r="315" spans="1:29">
      <c r="A315" s="3" t="s">
        <v>100</v>
      </c>
      <c r="B315" s="5">
        <v>45689</v>
      </c>
      <c r="C315" s="3" t="s">
        <v>20</v>
      </c>
      <c r="D315" s="4">
        <f t="shared" si="37"/>
        <v>1</v>
      </c>
      <c r="E315" s="4">
        <f t="shared" si="38"/>
        <v>0</v>
      </c>
      <c r="F315" s="4">
        <f t="shared" si="39"/>
        <v>0</v>
      </c>
      <c r="G315" s="3" t="s">
        <v>16</v>
      </c>
      <c r="H315" s="3">
        <v>46767.99</v>
      </c>
      <c r="I315" s="3">
        <v>7973</v>
      </c>
      <c r="J315" s="3">
        <v>0.183</v>
      </c>
      <c r="K315" s="3">
        <v>18</v>
      </c>
      <c r="L315" s="3">
        <v>94.8</v>
      </c>
      <c r="M315" s="3">
        <v>4.67</v>
      </c>
      <c r="N315" s="4">
        <f t="shared" si="40"/>
        <v>4.67</v>
      </c>
      <c r="O315" s="3">
        <v>0</v>
      </c>
      <c r="P315" s="3"/>
      <c r="Q315" s="4">
        <f t="shared" si="33"/>
        <v>3.9</v>
      </c>
      <c r="R315" s="3">
        <v>688368.46</v>
      </c>
      <c r="S315" s="3">
        <v>93588.42</v>
      </c>
      <c r="X315" s="3">
        <v>46767.99</v>
      </c>
      <c r="Y315" s="3">
        <v>7973</v>
      </c>
      <c r="Z315" s="3">
        <v>94.8</v>
      </c>
      <c r="AA315" s="4">
        <f t="shared" si="34"/>
        <v>0</v>
      </c>
      <c r="AB315" s="4">
        <f t="shared" si="35"/>
        <v>0</v>
      </c>
      <c r="AC315" s="4">
        <f t="shared" si="36"/>
        <v>0</v>
      </c>
    </row>
    <row r="316" spans="1:29">
      <c r="A316" s="3" t="s">
        <v>100</v>
      </c>
      <c r="B316" s="5">
        <v>45717</v>
      </c>
      <c r="C316" s="3" t="s">
        <v>20</v>
      </c>
      <c r="D316" s="4">
        <f t="shared" si="37"/>
        <v>1</v>
      </c>
      <c r="E316" s="4">
        <f t="shared" si="38"/>
        <v>0</v>
      </c>
      <c r="F316" s="4">
        <f t="shared" si="39"/>
        <v>0</v>
      </c>
      <c r="G316" s="3" t="s">
        <v>16</v>
      </c>
      <c r="H316" s="3">
        <v>62507.16</v>
      </c>
      <c r="I316" s="3">
        <v>6000</v>
      </c>
      <c r="J316" s="3">
        <v>9.0999999999999998E-2</v>
      </c>
      <c r="K316" s="3">
        <v>14</v>
      </c>
      <c r="L316" s="3">
        <v>98.2</v>
      </c>
      <c r="M316" s="3">
        <v>4.38</v>
      </c>
      <c r="N316" s="4">
        <f t="shared" si="40"/>
        <v>4.38</v>
      </c>
      <c r="O316" s="3">
        <v>1</v>
      </c>
      <c r="P316" s="3">
        <v>3.9</v>
      </c>
      <c r="Q316" s="4">
        <f t="shared" si="33"/>
        <v>3.9</v>
      </c>
      <c r="R316" s="3">
        <v>712375.77</v>
      </c>
      <c r="S316" s="3">
        <v>104171.53</v>
      </c>
      <c r="X316" s="3">
        <v>62507.16</v>
      </c>
      <c r="Y316" s="3">
        <v>6000</v>
      </c>
      <c r="Z316" s="3">
        <v>98.2</v>
      </c>
      <c r="AA316" s="4">
        <f t="shared" si="34"/>
        <v>0</v>
      </c>
      <c r="AB316" s="4">
        <f t="shared" si="35"/>
        <v>0</v>
      </c>
      <c r="AC316" s="4">
        <f t="shared" si="36"/>
        <v>0</v>
      </c>
    </row>
    <row r="317" spans="1:29">
      <c r="A317" s="3" t="s">
        <v>100</v>
      </c>
      <c r="B317" s="5">
        <v>45748</v>
      </c>
      <c r="C317" s="3" t="s">
        <v>20</v>
      </c>
      <c r="D317" s="4">
        <f t="shared" si="37"/>
        <v>1</v>
      </c>
      <c r="E317" s="4">
        <f t="shared" si="38"/>
        <v>0</v>
      </c>
      <c r="F317" s="4">
        <f t="shared" si="39"/>
        <v>0</v>
      </c>
      <c r="G317" s="3" t="s">
        <v>16</v>
      </c>
      <c r="H317" s="3">
        <v>66456.28</v>
      </c>
      <c r="I317" s="3">
        <v>9967</v>
      </c>
      <c r="J317" s="3">
        <v>0.108</v>
      </c>
      <c r="K317" s="3">
        <v>20</v>
      </c>
      <c r="L317" s="3">
        <v>94.7</v>
      </c>
      <c r="M317" s="3">
        <v>4.4800000000000004</v>
      </c>
      <c r="N317" s="4">
        <f t="shared" si="40"/>
        <v>4.4800000000000004</v>
      </c>
      <c r="O317" s="3">
        <v>0</v>
      </c>
      <c r="P317" s="3">
        <v>4.2</v>
      </c>
      <c r="Q317" s="4">
        <f t="shared" si="33"/>
        <v>4.2</v>
      </c>
      <c r="R317" s="3">
        <v>844710.67</v>
      </c>
      <c r="S317" s="3">
        <v>137140.18</v>
      </c>
      <c r="X317" s="3">
        <v>66456.28</v>
      </c>
      <c r="Y317" s="3">
        <v>9967</v>
      </c>
      <c r="Z317" s="3">
        <v>94.7</v>
      </c>
      <c r="AA317" s="4">
        <f t="shared" si="34"/>
        <v>0</v>
      </c>
      <c r="AB317" s="4">
        <f t="shared" si="35"/>
        <v>0</v>
      </c>
      <c r="AC317" s="4">
        <f t="shared" si="36"/>
        <v>0</v>
      </c>
    </row>
    <row r="318" spans="1:29">
      <c r="A318" s="3" t="s">
        <v>101</v>
      </c>
      <c r="B318" s="5">
        <v>45658</v>
      </c>
      <c r="C318" s="3" t="s">
        <v>15</v>
      </c>
      <c r="D318" s="4">
        <f t="shared" si="37"/>
        <v>0</v>
      </c>
      <c r="E318" s="4">
        <f t="shared" si="38"/>
        <v>0</v>
      </c>
      <c r="F318" s="4">
        <f t="shared" si="39"/>
        <v>0</v>
      </c>
      <c r="G318" s="3" t="s">
        <v>16</v>
      </c>
      <c r="H318" s="3">
        <v>76614.320000000007</v>
      </c>
      <c r="I318" s="3">
        <v>5639</v>
      </c>
      <c r="J318" s="3">
        <v>0.17399999999999999</v>
      </c>
      <c r="K318" s="3">
        <v>15</v>
      </c>
      <c r="L318" s="3">
        <v>92.9</v>
      </c>
      <c r="M318" s="3">
        <v>1.02</v>
      </c>
      <c r="N318" s="4">
        <f t="shared" si="40"/>
        <v>1.02</v>
      </c>
      <c r="O318" s="3">
        <v>1</v>
      </c>
      <c r="P318" s="3">
        <v>4</v>
      </c>
      <c r="Q318" s="4">
        <f t="shared" si="33"/>
        <v>4</v>
      </c>
      <c r="R318" s="3">
        <v>620264.19999999995</v>
      </c>
      <c r="S318" s="3">
        <v>91365.64</v>
      </c>
      <c r="X318" s="3">
        <v>76614.320000000007</v>
      </c>
      <c r="Y318" s="3">
        <v>5639</v>
      </c>
      <c r="Z318" s="3">
        <v>92.9</v>
      </c>
      <c r="AA318" s="4">
        <f t="shared" si="34"/>
        <v>0</v>
      </c>
      <c r="AB318" s="4">
        <f t="shared" si="35"/>
        <v>0</v>
      </c>
      <c r="AC318" s="4">
        <f t="shared" si="36"/>
        <v>0</v>
      </c>
    </row>
    <row r="319" spans="1:29">
      <c r="A319" s="3" t="s">
        <v>101</v>
      </c>
      <c r="B319" s="5">
        <v>45689</v>
      </c>
      <c r="C319" s="3" t="s">
        <v>15</v>
      </c>
      <c r="D319" s="4">
        <f t="shared" si="37"/>
        <v>0</v>
      </c>
      <c r="E319" s="4">
        <f t="shared" si="38"/>
        <v>0</v>
      </c>
      <c r="F319" s="4">
        <f t="shared" si="39"/>
        <v>0</v>
      </c>
      <c r="G319" s="3" t="s">
        <v>16</v>
      </c>
      <c r="H319" s="3">
        <v>24088.06</v>
      </c>
      <c r="I319" s="3">
        <v>3466</v>
      </c>
      <c r="J319" s="3">
        <v>0</v>
      </c>
      <c r="K319" s="3">
        <v>11</v>
      </c>
      <c r="L319" s="3">
        <v>88</v>
      </c>
      <c r="M319" s="3">
        <v>0.2</v>
      </c>
      <c r="N319" s="4">
        <f t="shared" si="40"/>
        <v>0.2</v>
      </c>
      <c r="O319" s="3">
        <v>0</v>
      </c>
      <c r="P319" s="3">
        <v>3.8</v>
      </c>
      <c r="Q319" s="4">
        <f t="shared" si="33"/>
        <v>3.8</v>
      </c>
      <c r="R319" s="3">
        <v>536845.42000000004</v>
      </c>
      <c r="S319" s="3">
        <v>107473.75</v>
      </c>
      <c r="X319" s="3">
        <v>24088.06</v>
      </c>
      <c r="Y319" s="3">
        <v>3466</v>
      </c>
      <c r="Z319" s="3">
        <v>88</v>
      </c>
      <c r="AA319" s="4">
        <f t="shared" si="34"/>
        <v>0</v>
      </c>
      <c r="AB319" s="4">
        <f t="shared" si="35"/>
        <v>0</v>
      </c>
      <c r="AC319" s="4">
        <f t="shared" si="36"/>
        <v>0</v>
      </c>
    </row>
    <row r="320" spans="1:29">
      <c r="A320" s="3" t="s">
        <v>101</v>
      </c>
      <c r="B320" s="5">
        <v>45717</v>
      </c>
      <c r="C320" s="3" t="s">
        <v>15</v>
      </c>
      <c r="D320" s="4">
        <f t="shared" si="37"/>
        <v>0</v>
      </c>
      <c r="E320" s="4">
        <f t="shared" si="38"/>
        <v>0</v>
      </c>
      <c r="F320" s="4">
        <f t="shared" si="39"/>
        <v>0</v>
      </c>
      <c r="G320" s="3" t="s">
        <v>16</v>
      </c>
      <c r="H320" s="3">
        <v>81902.58</v>
      </c>
      <c r="I320" s="3">
        <v>7775</v>
      </c>
      <c r="J320" s="3">
        <v>0.215</v>
      </c>
      <c r="K320" s="3">
        <v>20</v>
      </c>
      <c r="L320" s="3">
        <v>85.2</v>
      </c>
      <c r="M320" s="3">
        <v>4.8899999999999997</v>
      </c>
      <c r="N320" s="4">
        <f t="shared" si="40"/>
        <v>4.8899999999999997</v>
      </c>
      <c r="O320" s="3">
        <v>1</v>
      </c>
      <c r="P320" s="3">
        <v>4.2</v>
      </c>
      <c r="Q320" s="4">
        <f t="shared" si="33"/>
        <v>4.2</v>
      </c>
      <c r="R320" s="3">
        <v>726776.22</v>
      </c>
      <c r="S320" s="3">
        <v>90804.49</v>
      </c>
      <c r="X320" s="3">
        <v>81902.58</v>
      </c>
      <c r="Y320" s="3">
        <v>7775</v>
      </c>
      <c r="Z320" s="3">
        <v>85.2</v>
      </c>
      <c r="AA320" s="4">
        <f t="shared" si="34"/>
        <v>0</v>
      </c>
      <c r="AB320" s="4">
        <f t="shared" si="35"/>
        <v>0</v>
      </c>
      <c r="AC320" s="4">
        <f t="shared" si="36"/>
        <v>0</v>
      </c>
    </row>
    <row r="321" spans="1:29">
      <c r="A321" s="3" t="s">
        <v>101</v>
      </c>
      <c r="B321" s="5">
        <v>45748</v>
      </c>
      <c r="C321" s="3" t="s">
        <v>15</v>
      </c>
      <c r="D321" s="4">
        <f t="shared" si="37"/>
        <v>0</v>
      </c>
      <c r="E321" s="4">
        <f t="shared" si="38"/>
        <v>0</v>
      </c>
      <c r="F321" s="4">
        <f t="shared" si="39"/>
        <v>0</v>
      </c>
      <c r="G321" s="3" t="s">
        <v>16</v>
      </c>
      <c r="H321" s="3">
        <v>40553.11</v>
      </c>
      <c r="I321" s="3">
        <v>5317</v>
      </c>
      <c r="J321" s="3">
        <v>0.16500000000000001</v>
      </c>
      <c r="K321" s="3">
        <v>17</v>
      </c>
      <c r="L321" s="3">
        <v>84.3</v>
      </c>
      <c r="M321" s="3">
        <v>11.82</v>
      </c>
      <c r="N321" s="4">
        <f t="shared" si="40"/>
        <v>11.82</v>
      </c>
      <c r="O321" s="3">
        <v>0</v>
      </c>
      <c r="P321" s="3">
        <v>4.0999999999999996</v>
      </c>
      <c r="Q321" s="4">
        <f t="shared" si="33"/>
        <v>4.0999999999999996</v>
      </c>
      <c r="R321" s="3">
        <v>559660.84</v>
      </c>
      <c r="S321" s="3">
        <v>71443.61</v>
      </c>
      <c r="X321" s="3">
        <v>40553.11</v>
      </c>
      <c r="Y321" s="3">
        <v>5317</v>
      </c>
      <c r="Z321" s="3">
        <v>84.3</v>
      </c>
      <c r="AA321" s="4">
        <f t="shared" si="34"/>
        <v>0</v>
      </c>
      <c r="AB321" s="4">
        <f t="shared" si="35"/>
        <v>0</v>
      </c>
      <c r="AC321" s="4">
        <f t="shared" si="36"/>
        <v>0</v>
      </c>
    </row>
    <row r="324" spans="1:29">
      <c r="Q324">
        <f>MEDIAN(P:P)</f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4EA-FDF6-42B4-83C4-3BE0EB825B36}">
  <dimension ref="D1:M321"/>
  <sheetViews>
    <sheetView tabSelected="1" topLeftCell="D1" workbookViewId="0">
      <selection activeCell="N17" sqref="N17"/>
    </sheetView>
  </sheetViews>
  <sheetFormatPr defaultRowHeight="14"/>
  <cols>
    <col min="11" max="11" width="15.4140625" customWidth="1"/>
    <col min="12" max="12" width="13.58203125" customWidth="1"/>
  </cols>
  <sheetData>
    <row r="1" spans="4:13">
      <c r="D1" t="s">
        <v>4</v>
      </c>
      <c r="E1" t="s">
        <v>5</v>
      </c>
      <c r="F1" t="s">
        <v>8</v>
      </c>
      <c r="G1" t="s">
        <v>120</v>
      </c>
      <c r="H1" t="s">
        <v>121</v>
      </c>
      <c r="I1" t="s">
        <v>122</v>
      </c>
      <c r="K1" t="s">
        <v>12</v>
      </c>
      <c r="L1" t="s">
        <v>153</v>
      </c>
      <c r="M1" t="s">
        <v>154</v>
      </c>
    </row>
    <row r="2" spans="4:13">
      <c r="D2">
        <v>52758.01</v>
      </c>
      <c r="E2">
        <v>4063</v>
      </c>
      <c r="F2">
        <v>91.7</v>
      </c>
      <c r="G2">
        <v>0</v>
      </c>
      <c r="H2">
        <v>0</v>
      </c>
      <c r="I2">
        <v>0</v>
      </c>
      <c r="K2">
        <v>713611.16</v>
      </c>
      <c r="L2">
        <f>131500+1.186*D2+33.87*E2+2818.21*F2+10550*G2+21940*H2+17490*I2</f>
        <v>590114.66686</v>
      </c>
      <c r="M2" s="11">
        <f>K2-L2</f>
        <v>123496.49314000004</v>
      </c>
    </row>
    <row r="3" spans="4:13">
      <c r="D3">
        <v>32266.639999999999</v>
      </c>
      <c r="E3">
        <v>2414</v>
      </c>
      <c r="F3">
        <v>92.1</v>
      </c>
      <c r="G3">
        <v>0</v>
      </c>
      <c r="H3">
        <v>0</v>
      </c>
      <c r="I3">
        <v>0</v>
      </c>
      <c r="K3">
        <v>625514.04</v>
      </c>
      <c r="L3">
        <f>131500+1.186*D3+33.87*E3+2818.21*F3+10550*G3+21940*H3+17490*I3</f>
        <v>511087.55603999994</v>
      </c>
      <c r="M3" s="11">
        <f>K3-L3</f>
        <v>114426.4839600001</v>
      </c>
    </row>
    <row r="4" spans="4:13">
      <c r="D4">
        <v>78111.97</v>
      </c>
      <c r="E4">
        <v>6389</v>
      </c>
      <c r="F4">
        <v>83.9</v>
      </c>
      <c r="G4">
        <v>0</v>
      </c>
      <c r="H4">
        <v>0</v>
      </c>
      <c r="I4">
        <v>0</v>
      </c>
      <c r="K4">
        <v>787715.51</v>
      </c>
      <c r="L4">
        <f>131500+1.186*D4+33.87*E4+2818.21*F4+10550*G4+21940*H4+17490*I4</f>
        <v>676984.04541999998</v>
      </c>
      <c r="M4" s="11">
        <f>K4-L4</f>
        <v>110731.46458000003</v>
      </c>
    </row>
    <row r="5" spans="4:13">
      <c r="D5">
        <v>61541.21</v>
      </c>
      <c r="E5">
        <v>10396</v>
      </c>
      <c r="F5">
        <v>88.1</v>
      </c>
      <c r="G5">
        <v>0</v>
      </c>
      <c r="H5">
        <v>0</v>
      </c>
      <c r="I5">
        <v>0</v>
      </c>
      <c r="K5">
        <v>914544.17</v>
      </c>
      <c r="L5">
        <f>131500+1.186*D5+33.87*E5+2818.21*F5+10550*G5+21940*H5+17490*I5</f>
        <v>804884.69605999999</v>
      </c>
      <c r="M5" s="11">
        <f>K5-L5</f>
        <v>109659.47394000005</v>
      </c>
    </row>
    <row r="6" spans="4:13">
      <c r="D6">
        <v>63582.11</v>
      </c>
      <c r="E6">
        <v>6856</v>
      </c>
      <c r="F6">
        <v>89.5</v>
      </c>
      <c r="G6">
        <v>0</v>
      </c>
      <c r="H6">
        <v>0</v>
      </c>
      <c r="I6">
        <v>0</v>
      </c>
      <c r="K6">
        <v>799046.94</v>
      </c>
      <c r="L6">
        <f>131500+1.186*D6+33.87*E6+2818.21*F6+10550*G6+21940*H6+17490*I6</f>
        <v>691350.89746000001</v>
      </c>
      <c r="M6" s="11">
        <f>K6-L6</f>
        <v>107696.04253999994</v>
      </c>
    </row>
    <row r="7" spans="4:13">
      <c r="D7">
        <v>65272.58</v>
      </c>
      <c r="E7">
        <v>8165</v>
      </c>
      <c r="F7">
        <v>87.8</v>
      </c>
      <c r="G7">
        <v>0</v>
      </c>
      <c r="H7">
        <v>0</v>
      </c>
      <c r="I7">
        <v>0</v>
      </c>
      <c r="K7">
        <v>840108.12</v>
      </c>
      <c r="L7">
        <f>131500+1.186*D7+33.87*E7+2818.21*F7+10550*G7+21940*H7+17490*I7</f>
        <v>732900.66787999996</v>
      </c>
      <c r="M7">
        <f>K7-L7</f>
        <v>107207.45212000003</v>
      </c>
    </row>
    <row r="8" spans="4:13">
      <c r="D8">
        <v>72731.14</v>
      </c>
      <c r="E8">
        <v>4644</v>
      </c>
      <c r="F8">
        <v>87.1</v>
      </c>
      <c r="G8">
        <v>0</v>
      </c>
      <c r="H8">
        <v>0</v>
      </c>
      <c r="I8">
        <v>0</v>
      </c>
      <c r="K8">
        <v>727241.86</v>
      </c>
      <c r="L8">
        <f>131500+1.186*D8+33.87*E8+2818.21*F8+10550*G8+21940*H8+17490*I8</f>
        <v>620517.50303999998</v>
      </c>
      <c r="M8">
        <f>K8-L8</f>
        <v>106724.35696</v>
      </c>
    </row>
    <row r="9" spans="4:13">
      <c r="D9">
        <v>56737.3</v>
      </c>
      <c r="E9">
        <v>8300</v>
      </c>
      <c r="F9">
        <v>83.2</v>
      </c>
      <c r="G9">
        <v>0</v>
      </c>
      <c r="H9">
        <v>0</v>
      </c>
      <c r="I9">
        <v>0</v>
      </c>
      <c r="K9">
        <v>813316.71</v>
      </c>
      <c r="L9">
        <f>131500+1.186*D9+33.87*E9+2818.21*F9+10550*G9+21940*H9+17490*I9</f>
        <v>714386.5098</v>
      </c>
      <c r="M9">
        <f>K9-L9</f>
        <v>98930.200199999963</v>
      </c>
    </row>
    <row r="10" spans="4:13">
      <c r="D10">
        <v>57360.01</v>
      </c>
      <c r="E10">
        <v>8434</v>
      </c>
      <c r="F10">
        <v>84.1</v>
      </c>
      <c r="G10">
        <v>0</v>
      </c>
      <c r="H10">
        <v>0</v>
      </c>
      <c r="I10">
        <v>0</v>
      </c>
      <c r="K10">
        <v>820519.04</v>
      </c>
      <c r="L10">
        <f>131500+1.186*D10+33.87*E10+2818.21*F10+10550*G10+21940*H10+17490*I10</f>
        <v>722200.0128599999</v>
      </c>
      <c r="M10">
        <f>K10-L10</f>
        <v>98319.027140000137</v>
      </c>
    </row>
    <row r="11" spans="4:13">
      <c r="D11">
        <v>48438.85</v>
      </c>
      <c r="E11">
        <v>6992</v>
      </c>
      <c r="F11">
        <v>91</v>
      </c>
      <c r="G11">
        <v>0</v>
      </c>
      <c r="H11">
        <v>0</v>
      </c>
      <c r="I11">
        <v>0</v>
      </c>
      <c r="K11">
        <v>778298.88</v>
      </c>
      <c r="L11">
        <f>131500+1.186*D11+33.87*E11+2818.21*F11+10550*G11+21940*H11+17490*I11</f>
        <v>682224.62609999999</v>
      </c>
      <c r="M11">
        <f>K11-L11</f>
        <v>96074.253900000011</v>
      </c>
    </row>
    <row r="12" spans="4:13">
      <c r="D12">
        <v>55477.61</v>
      </c>
      <c r="E12">
        <v>5903</v>
      </c>
      <c r="F12">
        <v>96.2</v>
      </c>
      <c r="G12">
        <v>0</v>
      </c>
      <c r="H12">
        <v>0</v>
      </c>
      <c r="I12">
        <v>0</v>
      </c>
      <c r="K12">
        <v>763162.45</v>
      </c>
      <c r="L12">
        <f>131500+1.186*D12+33.87*E12+2818.21*F12+10550*G12+21940*H12+17490*I12</f>
        <v>668342.85746000009</v>
      </c>
      <c r="M12">
        <f>K12-L12</f>
        <v>94819.592539999867</v>
      </c>
    </row>
    <row r="13" spans="4:13">
      <c r="D13">
        <v>78839.39</v>
      </c>
      <c r="E13">
        <v>5150</v>
      </c>
      <c r="F13">
        <v>85.8</v>
      </c>
      <c r="G13">
        <v>0</v>
      </c>
      <c r="H13">
        <v>0</v>
      </c>
      <c r="I13">
        <v>0</v>
      </c>
      <c r="K13">
        <v>735509.4</v>
      </c>
      <c r="L13">
        <f>131500+1.186*D13+33.87*E13+2818.21*F13+10550*G13+21940*H13+17490*I13</f>
        <v>641236.43454000005</v>
      </c>
      <c r="M13">
        <f>K13-L13</f>
        <v>94272.965459999978</v>
      </c>
    </row>
    <row r="14" spans="4:13">
      <c r="D14">
        <v>29389.32</v>
      </c>
      <c r="E14">
        <v>7925</v>
      </c>
      <c r="F14">
        <v>90.9</v>
      </c>
      <c r="G14">
        <v>0</v>
      </c>
      <c r="H14">
        <v>0</v>
      </c>
      <c r="I14">
        <v>0</v>
      </c>
      <c r="K14">
        <v>783582</v>
      </c>
      <c r="L14">
        <f>131500+1.186*D14+33.87*E14+2818.21*F14+10550*G14+21940*H14+17490*I14</f>
        <v>690950.77252</v>
      </c>
      <c r="M14">
        <f>K14-L14</f>
        <v>92631.227480000001</v>
      </c>
    </row>
    <row r="15" spans="4:13">
      <c r="D15">
        <v>71838.86</v>
      </c>
      <c r="E15">
        <v>10979</v>
      </c>
      <c r="F15">
        <v>88.6</v>
      </c>
      <c r="G15">
        <v>0</v>
      </c>
      <c r="H15">
        <v>0</v>
      </c>
      <c r="I15">
        <v>0</v>
      </c>
      <c r="K15">
        <v>930581.7</v>
      </c>
      <c r="L15">
        <f>131500+1.186*D15+33.87*E15+2818.21*F15+10550*G15+21940*H15+17490*I15</f>
        <v>838253.0239599999</v>
      </c>
      <c r="M15">
        <f>K15-L15</f>
        <v>92328.676040000049</v>
      </c>
    </row>
    <row r="16" spans="4:13">
      <c r="D16">
        <v>38297.58</v>
      </c>
      <c r="E16">
        <v>5893</v>
      </c>
      <c r="F16">
        <v>77.599999999999994</v>
      </c>
      <c r="G16">
        <v>0</v>
      </c>
      <c r="H16">
        <v>0</v>
      </c>
      <c r="I16">
        <v>0</v>
      </c>
      <c r="K16">
        <v>686737.87</v>
      </c>
      <c r="L16">
        <f>131500+1.186*D16+33.87*E16+2818.21*F16+10550*G16+21940*H16+17490*I16</f>
        <v>595209.93588</v>
      </c>
      <c r="M16">
        <f>K16-L16</f>
        <v>91527.934119999991</v>
      </c>
    </row>
    <row r="17" spans="4:13">
      <c r="D17">
        <v>61391.8</v>
      </c>
      <c r="E17">
        <v>5575</v>
      </c>
      <c r="F17">
        <v>90</v>
      </c>
      <c r="G17">
        <v>0</v>
      </c>
      <c r="H17">
        <v>0</v>
      </c>
      <c r="I17">
        <v>0</v>
      </c>
      <c r="K17">
        <v>735786.64</v>
      </c>
      <c r="L17">
        <f>131500+1.186*D17+33.87*E17+2818.21*F17+10550*G17+21940*H17+17490*I17</f>
        <v>646774.82479999994</v>
      </c>
      <c r="M17">
        <f>K17-L17</f>
        <v>89011.81520000007</v>
      </c>
    </row>
    <row r="18" spans="4:13">
      <c r="D18">
        <v>61650.79</v>
      </c>
      <c r="E18">
        <v>5321</v>
      </c>
      <c r="F18">
        <v>89.2</v>
      </c>
      <c r="G18">
        <v>0</v>
      </c>
      <c r="H18">
        <v>0</v>
      </c>
      <c r="I18">
        <v>0</v>
      </c>
      <c r="K18">
        <v>723305.11</v>
      </c>
      <c r="L18">
        <f>131500+1.186*D18+33.87*E18+2818.21*F18+10550*G18+21940*H18+17490*I18</f>
        <v>636224.43894000002</v>
      </c>
      <c r="M18">
        <f>K18-L18</f>
        <v>87080.671059999964</v>
      </c>
    </row>
    <row r="19" spans="4:13">
      <c r="D19">
        <v>74881.56</v>
      </c>
      <c r="E19">
        <v>9999</v>
      </c>
      <c r="F19">
        <v>89.6</v>
      </c>
      <c r="G19">
        <v>0</v>
      </c>
      <c r="H19">
        <v>0</v>
      </c>
      <c r="I19">
        <v>0</v>
      </c>
      <c r="K19">
        <v>898031.04</v>
      </c>
      <c r="L19">
        <f>131500+1.186*D19+33.87*E19+2818.21*F19+10550*G19+21940*H19+17490*I19</f>
        <v>811487.27615999989</v>
      </c>
      <c r="M19">
        <f>K19-L19</f>
        <v>86543.763840000145</v>
      </c>
    </row>
    <row r="20" spans="4:13">
      <c r="D20">
        <v>64294.23</v>
      </c>
      <c r="E20">
        <v>6992</v>
      </c>
      <c r="F20">
        <v>94.1</v>
      </c>
      <c r="G20">
        <v>0</v>
      </c>
      <c r="H20">
        <v>0</v>
      </c>
      <c r="I20">
        <v>0</v>
      </c>
      <c r="K20">
        <v>795153.84</v>
      </c>
      <c r="L20">
        <f>131500+1.186*D20+33.87*E20+2818.21*F20+10550*G20+21940*H20+17490*I20</f>
        <v>709765.55777999992</v>
      </c>
      <c r="M20">
        <f>K20-L20</f>
        <v>85388.282220000052</v>
      </c>
    </row>
    <row r="21" spans="4:13">
      <c r="D21">
        <v>51450.55</v>
      </c>
      <c r="E21">
        <v>4902</v>
      </c>
      <c r="F21">
        <v>83.7</v>
      </c>
      <c r="G21">
        <v>0</v>
      </c>
      <c r="H21">
        <v>0</v>
      </c>
      <c r="I21">
        <v>0</v>
      </c>
      <c r="K21">
        <v>677640.65</v>
      </c>
      <c r="L21">
        <f>131500+1.186*D21+33.87*E21+2818.21*F21+10550*G21+21940*H21+17490*I21</f>
        <v>594435.26930000004</v>
      </c>
      <c r="M21">
        <f>K21-L21</f>
        <v>83205.38069999998</v>
      </c>
    </row>
    <row r="22" spans="4:13">
      <c r="D22">
        <v>68077.539999999994</v>
      </c>
      <c r="E22">
        <v>3360</v>
      </c>
      <c r="F22">
        <v>88.2</v>
      </c>
      <c r="G22">
        <v>0</v>
      </c>
      <c r="H22">
        <v>0</v>
      </c>
      <c r="I22">
        <v>0</v>
      </c>
      <c r="K22">
        <v>657429.18000000005</v>
      </c>
      <c r="L22">
        <f>131500+1.186*D22+33.87*E22+2818.21*F22+10550*G22+21940*H22+17490*I22</f>
        <v>574609.28443999996</v>
      </c>
      <c r="M22">
        <f>K22-L22</f>
        <v>82819.895560000092</v>
      </c>
    </row>
    <row r="23" spans="4:13">
      <c r="D23">
        <v>70144.78</v>
      </c>
      <c r="E23">
        <v>6806</v>
      </c>
      <c r="F23">
        <v>93.1</v>
      </c>
      <c r="G23">
        <v>0</v>
      </c>
      <c r="H23">
        <v>0</v>
      </c>
      <c r="I23">
        <v>0</v>
      </c>
      <c r="K23">
        <v>788087.68</v>
      </c>
      <c r="L23">
        <f>131500+1.186*D23+33.87*E23+2818.21*F23+10550*G23+21940*H23+17490*I23</f>
        <v>707586.28007999994</v>
      </c>
      <c r="M23">
        <f>K23-L23</f>
        <v>80501.399920000113</v>
      </c>
    </row>
    <row r="24" spans="4:13">
      <c r="D24">
        <v>74907.98</v>
      </c>
      <c r="E24">
        <v>5306</v>
      </c>
      <c r="F24">
        <v>95.6</v>
      </c>
      <c r="G24">
        <v>0</v>
      </c>
      <c r="H24">
        <v>0</v>
      </c>
      <c r="I24">
        <v>0</v>
      </c>
      <c r="K24">
        <v>749559.71</v>
      </c>
      <c r="L24">
        <f>131500+1.186*D24+33.87*E24+2818.21*F24+10550*G24+21940*H24+17490*I24</f>
        <v>669475.96028</v>
      </c>
      <c r="M24">
        <f>K24-L24</f>
        <v>80083.749719999963</v>
      </c>
    </row>
    <row r="25" spans="4:13">
      <c r="D25">
        <v>56918.16</v>
      </c>
      <c r="E25">
        <v>7015</v>
      </c>
      <c r="F25">
        <v>74.2</v>
      </c>
      <c r="G25">
        <v>0</v>
      </c>
      <c r="H25">
        <v>0</v>
      </c>
      <c r="I25">
        <v>0</v>
      </c>
      <c r="K25">
        <v>724216.07</v>
      </c>
      <c r="L25">
        <f>131500+1.186*D25+33.87*E25+2818.21*F25+10550*G25+21940*H25+17490*I25</f>
        <v>645714.16975999996</v>
      </c>
      <c r="M25">
        <f>K25-L25</f>
        <v>78501.900239999988</v>
      </c>
    </row>
    <row r="26" spans="4:13">
      <c r="D26">
        <v>68148.52</v>
      </c>
      <c r="E26">
        <v>8567</v>
      </c>
      <c r="F26">
        <v>95.6</v>
      </c>
      <c r="G26">
        <v>0</v>
      </c>
      <c r="H26">
        <v>0</v>
      </c>
      <c r="I26">
        <v>0</v>
      </c>
      <c r="K26">
        <v>850164.26</v>
      </c>
      <c r="L26">
        <f>131500+1.186*D26+33.87*E26+2818.21*F26+10550*G26+21940*H26+17490*I26</f>
        <v>771909.31071999995</v>
      </c>
      <c r="M26">
        <f>K26-L26</f>
        <v>78254.949280000059</v>
      </c>
    </row>
    <row r="27" spans="4:13">
      <c r="D27">
        <v>67979.88</v>
      </c>
      <c r="E27">
        <v>11230</v>
      </c>
      <c r="F27">
        <v>85.3</v>
      </c>
      <c r="G27">
        <v>0</v>
      </c>
      <c r="H27">
        <v>0</v>
      </c>
      <c r="I27">
        <v>0</v>
      </c>
      <c r="K27">
        <v>910791.94</v>
      </c>
      <c r="L27">
        <f>131500+1.186*D27+33.87*E27+2818.21*F27+10550*G27+21940*H27+17490*I27</f>
        <v>832877.55067999999</v>
      </c>
      <c r="M27">
        <f>K27-L27</f>
        <v>77914.389319999958</v>
      </c>
    </row>
    <row r="28" spans="4:13">
      <c r="D28">
        <v>48031.74</v>
      </c>
      <c r="E28">
        <v>6516</v>
      </c>
      <c r="F28">
        <v>99</v>
      </c>
      <c r="G28">
        <v>0</v>
      </c>
      <c r="H28">
        <v>0</v>
      </c>
      <c r="I28">
        <v>0</v>
      </c>
      <c r="K28">
        <v>765906.95</v>
      </c>
      <c r="L28">
        <f>131500+1.186*D28+33.87*E28+2818.21*F28+10550*G28+21940*H28+17490*I28</f>
        <v>688165.35363999987</v>
      </c>
      <c r="M28">
        <f>K28-L28</f>
        <v>77741.596360000083</v>
      </c>
    </row>
    <row r="29" spans="4:13">
      <c r="D29">
        <v>86421.88</v>
      </c>
      <c r="E29">
        <v>7970</v>
      </c>
      <c r="F29">
        <v>91.3</v>
      </c>
      <c r="G29">
        <v>0</v>
      </c>
      <c r="H29">
        <v>0</v>
      </c>
      <c r="I29">
        <v>0</v>
      </c>
      <c r="K29">
        <v>838250.32</v>
      </c>
      <c r="L29">
        <f>131500+1.186*D29+33.87*E29+2818.21*F29+10550*G29+21940*H29+17490*I29</f>
        <v>761242.82267999998</v>
      </c>
      <c r="M29">
        <f>K29-L29</f>
        <v>77007.497319999966</v>
      </c>
    </row>
    <row r="30" spans="4:13">
      <c r="D30">
        <v>60628.38</v>
      </c>
      <c r="E30">
        <v>4451</v>
      </c>
      <c r="F30">
        <v>89.6</v>
      </c>
      <c r="G30">
        <v>0</v>
      </c>
      <c r="H30">
        <v>0</v>
      </c>
      <c r="I30">
        <v>0</v>
      </c>
      <c r="K30">
        <v>682208.01</v>
      </c>
      <c r="L30">
        <f>131500+1.186*D30+33.87*E30+2818.21*F30+10550*G30+21940*H30+17490*I30</f>
        <v>606672.24468</v>
      </c>
      <c r="M30">
        <f>K30-L30</f>
        <v>75535.765320000006</v>
      </c>
    </row>
    <row r="31" spans="4:13">
      <c r="D31">
        <v>70937.240000000005</v>
      </c>
      <c r="E31">
        <v>3595</v>
      </c>
      <c r="F31">
        <v>88.9</v>
      </c>
      <c r="G31">
        <v>0</v>
      </c>
      <c r="H31">
        <v>0</v>
      </c>
      <c r="I31">
        <v>0</v>
      </c>
      <c r="K31">
        <v>661927.14</v>
      </c>
      <c r="L31">
        <f>131500+1.186*D31+33.87*E31+2818.21*F31+10550*G31+21940*H31+17490*I31</f>
        <v>587933.08563999995</v>
      </c>
      <c r="M31">
        <f>K31-L31</f>
        <v>73994.054360000067</v>
      </c>
    </row>
    <row r="32" spans="4:13">
      <c r="D32">
        <v>38397.82</v>
      </c>
      <c r="E32">
        <v>7836</v>
      </c>
      <c r="F32">
        <v>92.2</v>
      </c>
      <c r="G32">
        <v>0</v>
      </c>
      <c r="H32">
        <v>0</v>
      </c>
      <c r="I32">
        <v>0</v>
      </c>
      <c r="K32">
        <v>776110.32</v>
      </c>
      <c r="L32">
        <f>131500+1.186*D32+33.87*E32+2818.21*F32+10550*G32+21940*H32+17490*I32</f>
        <v>702284.09652000002</v>
      </c>
      <c r="M32">
        <f>K32-L32</f>
        <v>73826.223479999928</v>
      </c>
    </row>
    <row r="33" spans="4:13">
      <c r="D33">
        <v>31997.25</v>
      </c>
      <c r="E33">
        <v>8183</v>
      </c>
      <c r="F33">
        <v>93</v>
      </c>
      <c r="G33">
        <v>0</v>
      </c>
      <c r="H33">
        <v>0</v>
      </c>
      <c r="I33">
        <v>0</v>
      </c>
      <c r="K33">
        <v>780580.95</v>
      </c>
      <c r="L33">
        <f>131500+1.186*D33+33.87*E33+2818.21*F33+10550*G33+21940*H33+17490*I33</f>
        <v>708700.47849999997</v>
      </c>
      <c r="M33">
        <f>K33-L33</f>
        <v>71880.471499999985</v>
      </c>
    </row>
    <row r="34" spans="4:13">
      <c r="D34">
        <v>56517.9</v>
      </c>
      <c r="E34">
        <v>9574</v>
      </c>
      <c r="F34">
        <v>88.2</v>
      </c>
      <c r="G34">
        <v>0</v>
      </c>
      <c r="H34">
        <v>0</v>
      </c>
      <c r="I34">
        <v>0</v>
      </c>
      <c r="K34">
        <v>842157.92</v>
      </c>
      <c r="L34">
        <f>131500+1.186*D34+33.87*E34+2818.21*F34+10550*G34+21940*H34+17490*I34</f>
        <v>771367.73139999993</v>
      </c>
      <c r="M34">
        <f>K34-L34</f>
        <v>70790.18860000011</v>
      </c>
    </row>
    <row r="35" spans="4:13">
      <c r="D35">
        <v>23254.57</v>
      </c>
      <c r="E35">
        <v>3847</v>
      </c>
      <c r="F35">
        <v>93</v>
      </c>
      <c r="G35">
        <v>0</v>
      </c>
      <c r="H35">
        <v>0</v>
      </c>
      <c r="I35">
        <v>0</v>
      </c>
      <c r="K35">
        <v>620973.03</v>
      </c>
      <c r="L35">
        <f>131500+1.186*D35+33.87*E35+2818.21*F35+10550*G35+21940*H35+17490*I35</f>
        <v>551471.34002</v>
      </c>
      <c r="M35">
        <f>K35-L35</f>
        <v>69501.689980000025</v>
      </c>
    </row>
    <row r="36" spans="4:13">
      <c r="D36">
        <v>69779</v>
      </c>
      <c r="E36">
        <v>6544</v>
      </c>
      <c r="F36">
        <v>90.2</v>
      </c>
      <c r="G36">
        <v>0</v>
      </c>
      <c r="H36">
        <v>0</v>
      </c>
      <c r="I36">
        <v>0</v>
      </c>
      <c r="K36">
        <v>758827.64</v>
      </c>
      <c r="L36">
        <f>131500+1.186*D36+33.87*E36+2818.21*F36+10550*G36+21940*H36+17490*I36</f>
        <v>690105.71600000001</v>
      </c>
      <c r="M36">
        <f>K36-L36</f>
        <v>68721.923999999999</v>
      </c>
    </row>
    <row r="37" spans="4:13">
      <c r="D37">
        <v>54300.87</v>
      </c>
      <c r="E37">
        <v>7875</v>
      </c>
      <c r="F37">
        <v>94.1</v>
      </c>
      <c r="G37">
        <v>0</v>
      </c>
      <c r="H37">
        <v>0</v>
      </c>
      <c r="I37">
        <v>0</v>
      </c>
      <c r="K37">
        <v>795464.47</v>
      </c>
      <c r="L37">
        <f>131500+1.186*D37+33.87*E37+2818.21*F37+10550*G37+21940*H37+17490*I37</f>
        <v>727820.64281999995</v>
      </c>
      <c r="M37">
        <f>K37-L37</f>
        <v>67643.827180000022</v>
      </c>
    </row>
    <row r="38" spans="4:13">
      <c r="D38">
        <v>67439.3</v>
      </c>
      <c r="E38">
        <v>6477</v>
      </c>
      <c r="F38">
        <v>90.9</v>
      </c>
      <c r="G38">
        <v>0</v>
      </c>
      <c r="H38">
        <v>0</v>
      </c>
      <c r="I38">
        <v>0</v>
      </c>
      <c r="K38">
        <v>753473.55</v>
      </c>
      <c r="L38">
        <f>131500+1.186*D38+33.87*E38+2818.21*F38+10550*G38+21940*H38+17490*I38</f>
        <v>687034.28879999998</v>
      </c>
      <c r="M38">
        <f>K38-L38</f>
        <v>66439.261200000066</v>
      </c>
    </row>
    <row r="39" spans="4:13">
      <c r="D39">
        <v>75269.87</v>
      </c>
      <c r="E39">
        <v>8838</v>
      </c>
      <c r="F39">
        <v>83.1</v>
      </c>
      <c r="G39">
        <v>0</v>
      </c>
      <c r="H39">
        <v>0</v>
      </c>
      <c r="I39">
        <v>0</v>
      </c>
      <c r="K39">
        <v>820593.93</v>
      </c>
      <c r="L39">
        <f>131500+1.186*D39+33.87*E39+2818.21*F39+10550*G39+21940*H39+17490*I39</f>
        <v>754306.37681999989</v>
      </c>
      <c r="M39">
        <f>K39-L39</f>
        <v>66287.553180000163</v>
      </c>
    </row>
    <row r="40" spans="4:13">
      <c r="D40">
        <v>58785.33</v>
      </c>
      <c r="E40">
        <v>4467</v>
      </c>
      <c r="F40">
        <v>90.7</v>
      </c>
      <c r="G40">
        <v>0</v>
      </c>
      <c r="H40">
        <v>0</v>
      </c>
      <c r="I40">
        <v>0</v>
      </c>
      <c r="K40">
        <v>673348.56</v>
      </c>
      <c r="L40">
        <f>131500+1.186*D40+33.87*E40+2818.21*F40+10550*G40+21940*H40+17490*I40</f>
        <v>608128.33837999997</v>
      </c>
      <c r="M40">
        <f>K40-L40</f>
        <v>65220.221620000084</v>
      </c>
    </row>
    <row r="41" spans="4:13">
      <c r="D41">
        <v>37284.660000000003</v>
      </c>
      <c r="E41">
        <v>3928</v>
      </c>
      <c r="F41">
        <v>86.5</v>
      </c>
      <c r="G41">
        <v>0</v>
      </c>
      <c r="H41">
        <v>0</v>
      </c>
      <c r="I41">
        <v>0</v>
      </c>
      <c r="K41">
        <v>615966.48</v>
      </c>
      <c r="L41">
        <f>131500+1.186*D41+33.87*E41+2818.21*F41+10550*G41+21940*H41+17490*I41</f>
        <v>552536.13176000002</v>
      </c>
      <c r="M41">
        <f>K41-L41</f>
        <v>63430.348239999963</v>
      </c>
    </row>
    <row r="42" spans="4:13">
      <c r="D42">
        <v>80562.81</v>
      </c>
      <c r="E42">
        <v>7470</v>
      </c>
      <c r="F42">
        <v>83.5</v>
      </c>
      <c r="G42">
        <v>0</v>
      </c>
      <c r="H42">
        <v>0</v>
      </c>
      <c r="I42">
        <v>0</v>
      </c>
      <c r="K42">
        <v>776922.17</v>
      </c>
      <c r="L42">
        <f>131500+1.186*D42+33.87*E42+2818.21*F42+10550*G42+21940*H42+17490*I42</f>
        <v>715376.92766000004</v>
      </c>
      <c r="M42">
        <f>K42-L42</f>
        <v>61545.242339999997</v>
      </c>
    </row>
    <row r="43" spans="4:13">
      <c r="D43">
        <v>74954.47</v>
      </c>
      <c r="E43">
        <v>6620</v>
      </c>
      <c r="F43">
        <v>91.1</v>
      </c>
      <c r="G43">
        <v>0</v>
      </c>
      <c r="H43">
        <v>0</v>
      </c>
      <c r="I43">
        <v>0</v>
      </c>
      <c r="K43">
        <v>761860.19</v>
      </c>
      <c r="L43">
        <f>131500+1.186*D43+33.87*E43+2818.21*F43+10550*G43+21940*H43+17490*I43</f>
        <v>701354.33241999999</v>
      </c>
      <c r="M43">
        <f>K43-L43</f>
        <v>60505.857579999953</v>
      </c>
    </row>
    <row r="44" spans="4:13">
      <c r="D44">
        <v>75412.740000000005</v>
      </c>
      <c r="E44">
        <v>5641</v>
      </c>
      <c r="F44">
        <v>87.9</v>
      </c>
      <c r="G44">
        <v>0</v>
      </c>
      <c r="H44">
        <v>0</v>
      </c>
      <c r="I44">
        <v>0</v>
      </c>
      <c r="K44">
        <v>720079.54</v>
      </c>
      <c r="L44">
        <f>131500+1.186*D44+33.87*E44+2818.21*F44+10550*G44+21940*H44+17490*I44</f>
        <v>659720.83863999997</v>
      </c>
      <c r="M44">
        <f>K44-L44</f>
        <v>60358.701360000065</v>
      </c>
    </row>
    <row r="45" spans="4:13">
      <c r="D45">
        <v>53084.76</v>
      </c>
      <c r="E45">
        <v>3642</v>
      </c>
      <c r="F45">
        <v>91.4</v>
      </c>
      <c r="G45">
        <v>0</v>
      </c>
      <c r="H45">
        <v>0</v>
      </c>
      <c r="I45">
        <v>0</v>
      </c>
      <c r="K45">
        <v>635181.35</v>
      </c>
      <c r="L45">
        <f>131500+1.186*D45+33.87*E45+2818.21*F45+10550*G45+21940*H45+17490*I45</f>
        <v>575397.45935999998</v>
      </c>
      <c r="M45">
        <f>K45-L45</f>
        <v>59783.890639999998</v>
      </c>
    </row>
    <row r="46" spans="4:13">
      <c r="D46">
        <v>80176.34</v>
      </c>
      <c r="E46">
        <v>9489</v>
      </c>
      <c r="F46">
        <v>94.3</v>
      </c>
      <c r="G46">
        <v>0</v>
      </c>
      <c r="H46">
        <v>0</v>
      </c>
      <c r="I46">
        <v>0</v>
      </c>
      <c r="K46">
        <v>873380.02</v>
      </c>
      <c r="L46">
        <f>131500+1.186*D46+33.87*E46+2818.21*F46+10550*G46+21940*H46+17490*I46</f>
        <v>813738.77223999996</v>
      </c>
      <c r="M46">
        <f>K46-L46</f>
        <v>59641.247760000057</v>
      </c>
    </row>
    <row r="47" spans="4:13">
      <c r="D47">
        <v>72150.53</v>
      </c>
      <c r="E47">
        <v>9323</v>
      </c>
      <c r="F47">
        <v>82.9</v>
      </c>
      <c r="G47">
        <v>0</v>
      </c>
      <c r="H47">
        <v>0</v>
      </c>
      <c r="I47">
        <v>0</v>
      </c>
      <c r="K47">
        <v>825797.91</v>
      </c>
      <c r="L47">
        <f>131500+1.186*D47+33.87*E47+2818.21*F47+10550*G47+21940*H47+17490*I47</f>
        <v>766470.14757999999</v>
      </c>
      <c r="M47">
        <f>K47-L47</f>
        <v>59327.762420000043</v>
      </c>
    </row>
    <row r="48" spans="4:13">
      <c r="D48">
        <v>50517.94</v>
      </c>
      <c r="E48">
        <v>7024</v>
      </c>
      <c r="F48">
        <v>79.2</v>
      </c>
      <c r="G48">
        <v>0</v>
      </c>
      <c r="H48">
        <v>0</v>
      </c>
      <c r="I48">
        <v>0</v>
      </c>
      <c r="K48">
        <v>711213.46</v>
      </c>
      <c r="L48">
        <f>131500+1.186*D48+33.87*E48+2818.21*F48+10550*G48+21940*H48+17490*I48</f>
        <v>652519.38883999991</v>
      </c>
      <c r="M48">
        <f>K48-L48</f>
        <v>58694.07116000005</v>
      </c>
    </row>
    <row r="49" spans="4:13">
      <c r="D49">
        <v>44034.6</v>
      </c>
      <c r="E49">
        <v>5645</v>
      </c>
      <c r="F49">
        <v>88.5</v>
      </c>
      <c r="G49">
        <v>0</v>
      </c>
      <c r="H49">
        <v>0</v>
      </c>
      <c r="I49">
        <v>0</v>
      </c>
      <c r="K49">
        <v>682639.28</v>
      </c>
      <c r="L49">
        <f>131500+1.186*D49+33.87*E49+2818.21*F49+10550*G49+21940*H49+17490*I49</f>
        <v>624332.77059999993</v>
      </c>
      <c r="M49">
        <f>K49-L49</f>
        <v>58306.509400000097</v>
      </c>
    </row>
    <row r="50" spans="4:13">
      <c r="D50">
        <v>81195.5</v>
      </c>
      <c r="E50">
        <v>5516</v>
      </c>
      <c r="F50">
        <v>88</v>
      </c>
      <c r="G50">
        <v>0</v>
      </c>
      <c r="H50">
        <v>0</v>
      </c>
      <c r="I50">
        <v>0</v>
      </c>
      <c r="K50">
        <v>720852.5</v>
      </c>
      <c r="L50">
        <f>131500+1.186*D50+33.87*E50+2818.21*F50+10550*G50+21940*H50+17490*I50</f>
        <v>662627.26300000004</v>
      </c>
      <c r="M50">
        <f>K50-L50</f>
        <v>58225.236999999965</v>
      </c>
    </row>
    <row r="51" spans="4:13">
      <c r="D51">
        <v>113736</v>
      </c>
      <c r="E51">
        <v>8961</v>
      </c>
      <c r="F51">
        <v>86.2</v>
      </c>
      <c r="G51">
        <v>0</v>
      </c>
      <c r="H51">
        <v>0</v>
      </c>
      <c r="I51">
        <v>0</v>
      </c>
      <c r="K51">
        <v>870937.4</v>
      </c>
      <c r="L51">
        <f>131500+1.186*D51+33.87*E51+2818.21*F51+10550*G51+21940*H51+17490*I51</f>
        <v>812829.66800000006</v>
      </c>
      <c r="M51">
        <f>K51-L51</f>
        <v>58107.73199999996</v>
      </c>
    </row>
    <row r="52" spans="4:13">
      <c r="D52">
        <v>40535.089999999997</v>
      </c>
      <c r="E52">
        <v>8870</v>
      </c>
      <c r="F52">
        <v>86.6</v>
      </c>
      <c r="G52">
        <v>0</v>
      </c>
      <c r="H52">
        <v>0</v>
      </c>
      <c r="I52">
        <v>0</v>
      </c>
      <c r="K52">
        <v>781955.52</v>
      </c>
      <c r="L52">
        <f>131500+1.186*D52+33.87*E52+2818.21*F52+10550*G52+21940*H52+17490*I52</f>
        <v>724058.50273999991</v>
      </c>
      <c r="M52">
        <f>K52-L52</f>
        <v>57897.01726000011</v>
      </c>
    </row>
    <row r="53" spans="4:13">
      <c r="D53">
        <v>47241.919999999998</v>
      </c>
      <c r="E53">
        <v>4264</v>
      </c>
      <c r="F53">
        <v>95.3</v>
      </c>
      <c r="G53">
        <v>0</v>
      </c>
      <c r="H53">
        <v>0</v>
      </c>
      <c r="I53">
        <v>0</v>
      </c>
      <c r="K53">
        <v>658072.14</v>
      </c>
      <c r="L53">
        <f>131500+1.186*D53+33.87*E53+2818.21*F53+10550*G53+21940*H53+17490*I53</f>
        <v>600526.01011999999</v>
      </c>
      <c r="M53">
        <f>K53-L53</f>
        <v>57546.129880000022</v>
      </c>
    </row>
    <row r="54" spans="4:13">
      <c r="D54">
        <v>65312.49</v>
      </c>
      <c r="E54">
        <v>7189</v>
      </c>
      <c r="F54">
        <v>93.7</v>
      </c>
      <c r="G54">
        <v>0</v>
      </c>
      <c r="H54">
        <v>0</v>
      </c>
      <c r="I54">
        <v>0</v>
      </c>
      <c r="K54">
        <v>773815.14</v>
      </c>
      <c r="L54">
        <f>131500+1.186*D54+33.87*E54+2818.21*F54+10550*G54+21940*H54+17490*I54</f>
        <v>716518.32013999997</v>
      </c>
      <c r="M54">
        <f>K54-L54</f>
        <v>57296.819860000047</v>
      </c>
    </row>
    <row r="55" spans="4:13">
      <c r="D55">
        <v>23914.97</v>
      </c>
      <c r="E55">
        <v>8018</v>
      </c>
      <c r="F55">
        <v>89</v>
      </c>
      <c r="G55">
        <v>0</v>
      </c>
      <c r="H55">
        <v>0</v>
      </c>
      <c r="I55">
        <v>0</v>
      </c>
      <c r="K55">
        <v>739374.56</v>
      </c>
      <c r="L55">
        <f>131500+1.186*D55+33.87*E55+2818.21*F55+10550*G55+21940*H55+17490*I55</f>
        <v>682253.5044199999</v>
      </c>
      <c r="M55">
        <f>K55-L55</f>
        <v>57121.05558000016</v>
      </c>
    </row>
    <row r="56" spans="4:13">
      <c r="D56">
        <v>51430.31</v>
      </c>
      <c r="E56">
        <v>6427</v>
      </c>
      <c r="F56">
        <v>88.8</v>
      </c>
      <c r="G56">
        <v>0</v>
      </c>
      <c r="H56">
        <v>0</v>
      </c>
      <c r="I56">
        <v>0</v>
      </c>
      <c r="K56">
        <v>715890.53</v>
      </c>
      <c r="L56">
        <f>131500+1.186*D56+33.87*E56+2818.21*F56+10550*G56+21940*H56+17490*I56</f>
        <v>660435.88565999991</v>
      </c>
      <c r="M56">
        <f>K56-L56</f>
        <v>55454.644340000115</v>
      </c>
    </row>
    <row r="57" spans="4:13">
      <c r="D57">
        <v>61426.04</v>
      </c>
      <c r="E57">
        <v>8966</v>
      </c>
      <c r="F57">
        <v>76.400000000000006</v>
      </c>
      <c r="G57">
        <v>0</v>
      </c>
      <c r="H57">
        <v>0</v>
      </c>
      <c r="I57">
        <v>0</v>
      </c>
      <c r="K57">
        <v>778397.97</v>
      </c>
      <c r="L57">
        <f>131500+1.186*D57+33.87*E57+2818.21*F57+10550*G57+21940*H57+17490*I57</f>
        <v>723340.94744000002</v>
      </c>
      <c r="M57">
        <f>K57-L57</f>
        <v>55057.022559999954</v>
      </c>
    </row>
    <row r="58" spans="4:13">
      <c r="D58">
        <v>71851.45</v>
      </c>
      <c r="E58">
        <v>4970</v>
      </c>
      <c r="F58">
        <v>89.6</v>
      </c>
      <c r="G58">
        <v>0</v>
      </c>
      <c r="H58">
        <v>0</v>
      </c>
      <c r="I58">
        <v>0</v>
      </c>
      <c r="K58">
        <v>691447.43</v>
      </c>
      <c r="L58">
        <f>131500+1.186*D58+33.87*E58+2818.21*F58+10550*G58+21940*H58+17490*I58</f>
        <v>637561.33569999994</v>
      </c>
      <c r="M58">
        <f>K58-L58</f>
        <v>53886.094300000113</v>
      </c>
    </row>
    <row r="59" spans="4:13">
      <c r="D59">
        <v>31207.51</v>
      </c>
      <c r="E59">
        <v>3701</v>
      </c>
      <c r="F59">
        <v>84.7</v>
      </c>
      <c r="G59">
        <v>0</v>
      </c>
      <c r="H59">
        <v>0</v>
      </c>
      <c r="I59">
        <v>0</v>
      </c>
      <c r="K59">
        <v>586307.22</v>
      </c>
      <c r="L59">
        <f>131500+1.186*D59+33.87*E59+2818.21*F59+10550*G59+21940*H59+17490*I59</f>
        <v>532567.36386000004</v>
      </c>
      <c r="M59">
        <f>K59-L59</f>
        <v>53739.856139999931</v>
      </c>
    </row>
    <row r="60" spans="4:13">
      <c r="D60">
        <v>47093.55</v>
      </c>
      <c r="E60">
        <v>5550</v>
      </c>
      <c r="F60">
        <v>95</v>
      </c>
      <c r="G60">
        <v>0</v>
      </c>
      <c r="H60">
        <v>0</v>
      </c>
      <c r="I60">
        <v>0</v>
      </c>
      <c r="K60">
        <v>696744.15</v>
      </c>
      <c r="L60">
        <f>131500+1.186*D60+33.87*E60+2818.21*F60+10550*G60+21940*H60+17490*I60</f>
        <v>643061.4003000001</v>
      </c>
      <c r="M60">
        <f>K60-L60</f>
        <v>53682.749699999928</v>
      </c>
    </row>
    <row r="61" spans="4:13">
      <c r="D61">
        <v>54872.82</v>
      </c>
      <c r="E61">
        <v>5962</v>
      </c>
      <c r="F61">
        <v>85.4</v>
      </c>
      <c r="G61">
        <v>0</v>
      </c>
      <c r="H61">
        <v>0</v>
      </c>
      <c r="I61">
        <v>0</v>
      </c>
      <c r="K61">
        <v>691112.6</v>
      </c>
      <c r="L61">
        <f>131500+1.186*D61+33.87*E61+2818.21*F61+10550*G61+21940*H61+17490*I61</f>
        <v>639187.2385199999</v>
      </c>
      <c r="M61">
        <f>K61-L61</f>
        <v>51925.36148000008</v>
      </c>
    </row>
    <row r="62" spans="4:13">
      <c r="D62">
        <v>22387.26</v>
      </c>
      <c r="E62">
        <v>6301</v>
      </c>
      <c r="F62">
        <v>85.9</v>
      </c>
      <c r="G62">
        <v>0</v>
      </c>
      <c r="H62">
        <v>0</v>
      </c>
      <c r="I62">
        <v>0</v>
      </c>
      <c r="K62">
        <v>665342.49</v>
      </c>
      <c r="L62">
        <f>131500+1.186*D62+33.87*E62+2818.21*F62+10550*G62+21940*H62+17490*I62</f>
        <v>613550.39936000004</v>
      </c>
      <c r="M62">
        <f>K62-L62</f>
        <v>51792.090639999951</v>
      </c>
    </row>
    <row r="63" spans="4:13">
      <c r="D63">
        <v>51781.599999999999</v>
      </c>
      <c r="E63">
        <v>5648</v>
      </c>
      <c r="F63">
        <v>85.5</v>
      </c>
      <c r="G63">
        <v>0</v>
      </c>
      <c r="H63">
        <v>0</v>
      </c>
      <c r="I63">
        <v>0</v>
      </c>
      <c r="K63">
        <v>676337.41</v>
      </c>
      <c r="L63">
        <f>131500+1.186*D63+33.87*E63+2818.21*F63+10550*G63+21940*H63+17490*I63</f>
        <v>625167.69259999995</v>
      </c>
      <c r="M63">
        <f>K63-L63</f>
        <v>51169.717400000081</v>
      </c>
    </row>
    <row r="64" spans="4:13">
      <c r="D64">
        <v>82116.19</v>
      </c>
      <c r="E64">
        <v>5988</v>
      </c>
      <c r="F64">
        <v>91.8</v>
      </c>
      <c r="G64">
        <v>0</v>
      </c>
      <c r="H64">
        <v>0</v>
      </c>
      <c r="I64">
        <v>0</v>
      </c>
      <c r="K64">
        <v>739852.58</v>
      </c>
      <c r="L64">
        <f>131500+1.186*D64+33.87*E64+2818.21*F64+10550*G64+21940*H64+17490*I64</f>
        <v>690415.03934000002</v>
      </c>
      <c r="M64">
        <f>K64-L64</f>
        <v>49437.540659999941</v>
      </c>
    </row>
    <row r="65" spans="4:13">
      <c r="D65">
        <v>41819.449999999997</v>
      </c>
      <c r="E65">
        <v>9412</v>
      </c>
      <c r="F65">
        <v>91</v>
      </c>
      <c r="G65">
        <v>0</v>
      </c>
      <c r="H65">
        <v>0</v>
      </c>
      <c r="I65">
        <v>0</v>
      </c>
      <c r="K65">
        <v>804975.5</v>
      </c>
      <c r="L65">
        <f>131500+1.186*D65+33.87*E65+2818.21*F65+10550*G65+21940*H65+17490*I65</f>
        <v>756339.41769999999</v>
      </c>
      <c r="M65">
        <f>K65-L65</f>
        <v>48636.082300000009</v>
      </c>
    </row>
    <row r="66" spans="4:13">
      <c r="D66">
        <v>69900.12</v>
      </c>
      <c r="E66">
        <v>8055</v>
      </c>
      <c r="F66">
        <v>85.6</v>
      </c>
      <c r="G66">
        <v>0</v>
      </c>
      <c r="H66">
        <v>0</v>
      </c>
      <c r="I66">
        <v>0</v>
      </c>
      <c r="K66">
        <v>776992.93</v>
      </c>
      <c r="L66">
        <f>131500+1.186*D66+33.87*E66+2818.21*F66+10550*G66+21940*H66+17490*I66</f>
        <v>728463.16831999994</v>
      </c>
      <c r="M66">
        <f>K66-L66</f>
        <v>48529.761680000112</v>
      </c>
    </row>
    <row r="67" spans="4:13">
      <c r="D67">
        <v>17562.57</v>
      </c>
      <c r="E67">
        <v>3326</v>
      </c>
      <c r="F67">
        <v>88.1</v>
      </c>
      <c r="G67">
        <v>0</v>
      </c>
      <c r="H67">
        <v>0</v>
      </c>
      <c r="I67">
        <v>0</v>
      </c>
      <c r="K67">
        <v>561597.32999999996</v>
      </c>
      <c r="L67">
        <f>131500+1.186*D67+33.87*E67+2818.21*F67+10550*G67+21940*H67+17490*I67</f>
        <v>513265.12901999999</v>
      </c>
      <c r="M67">
        <f>K67-L67</f>
        <v>48332.200979999965</v>
      </c>
    </row>
    <row r="68" spans="4:13">
      <c r="D68">
        <v>99874.01</v>
      </c>
      <c r="E68">
        <v>5887</v>
      </c>
      <c r="F68">
        <v>88.7</v>
      </c>
      <c r="G68">
        <v>0</v>
      </c>
      <c r="H68">
        <v>0</v>
      </c>
      <c r="I68">
        <v>0</v>
      </c>
      <c r="K68">
        <v>746677.75</v>
      </c>
      <c r="L68">
        <f>131500+1.186*D68+33.87*E68+2818.21*F68+10550*G68+21940*H68+17490*I68</f>
        <v>699318.49285999988</v>
      </c>
      <c r="M68">
        <f>K68-L68</f>
        <v>47359.257140000118</v>
      </c>
    </row>
    <row r="69" spans="4:13">
      <c r="D69">
        <v>71641.899999999994</v>
      </c>
      <c r="E69">
        <v>3506</v>
      </c>
      <c r="F69">
        <v>86.4</v>
      </c>
      <c r="G69">
        <v>0</v>
      </c>
      <c r="H69">
        <v>0</v>
      </c>
      <c r="I69">
        <v>0</v>
      </c>
      <c r="K69">
        <v>625993.82999999996</v>
      </c>
      <c r="L69">
        <f>131500+1.186*D69+33.87*E69+2818.21*F69+10550*G69+21940*H69+17490*I69</f>
        <v>578708.85739999998</v>
      </c>
      <c r="M69">
        <f>K69-L69</f>
        <v>47284.972599999979</v>
      </c>
    </row>
    <row r="70" spans="4:13">
      <c r="D70">
        <v>83044.17</v>
      </c>
      <c r="E70">
        <v>3694</v>
      </c>
      <c r="F70">
        <v>89.4</v>
      </c>
      <c r="G70">
        <v>0</v>
      </c>
      <c r="H70">
        <v>0</v>
      </c>
      <c r="I70">
        <v>0</v>
      </c>
      <c r="K70">
        <v>654317.09</v>
      </c>
      <c r="L70">
        <f>131500+1.186*D70+33.87*E70+2818.21*F70+10550*G70+21940*H70+17490*I70</f>
        <v>607054.13962000003</v>
      </c>
      <c r="M70">
        <f>K70-L70</f>
        <v>47262.950379999937</v>
      </c>
    </row>
    <row r="71" spans="4:13">
      <c r="D71">
        <v>50887.46</v>
      </c>
      <c r="E71">
        <v>9505</v>
      </c>
      <c r="F71">
        <v>89.7</v>
      </c>
      <c r="G71">
        <v>0</v>
      </c>
      <c r="H71">
        <v>0</v>
      </c>
      <c r="I71">
        <v>0</v>
      </c>
      <c r="K71">
        <v>812152.6</v>
      </c>
      <c r="L71">
        <f>131500+1.186*D71+33.87*E71+2818.21*F71+10550*G71+21940*H71+17490*I71</f>
        <v>766580.31455999997</v>
      </c>
      <c r="M71">
        <f>K71-L71</f>
        <v>45572.285440000007</v>
      </c>
    </row>
    <row r="72" spans="4:13">
      <c r="D72">
        <v>57919.07</v>
      </c>
      <c r="E72">
        <v>7374</v>
      </c>
      <c r="F72">
        <v>82.3</v>
      </c>
      <c r="G72">
        <v>0</v>
      </c>
      <c r="H72">
        <v>0</v>
      </c>
      <c r="I72">
        <v>0</v>
      </c>
      <c r="K72">
        <v>727227.2</v>
      </c>
      <c r="L72">
        <f>131500+1.186*D72+33.87*E72+2818.21*F72+10550*G72+21940*H72+17490*I72</f>
        <v>681888.08001999999</v>
      </c>
      <c r="M72">
        <f>K72-L72</f>
        <v>45339.119979999959</v>
      </c>
    </row>
    <row r="73" spans="4:13">
      <c r="D73">
        <v>75265.02</v>
      </c>
      <c r="E73">
        <v>6975</v>
      </c>
      <c r="F73">
        <v>73.8</v>
      </c>
      <c r="G73">
        <v>0</v>
      </c>
      <c r="H73">
        <v>0</v>
      </c>
      <c r="I73">
        <v>0</v>
      </c>
      <c r="K73">
        <v>709478.39</v>
      </c>
      <c r="L73">
        <f>131500+1.186*D73+33.87*E73+2818.21*F73+10550*G73+21940*H73+17490*I73</f>
        <v>664991.46172000002</v>
      </c>
      <c r="M73">
        <f>K73-L73</f>
        <v>44486.928279999993</v>
      </c>
    </row>
    <row r="74" spans="4:13">
      <c r="D74">
        <v>69180.539999999994</v>
      </c>
      <c r="E74">
        <v>5394</v>
      </c>
      <c r="F74">
        <v>82.9</v>
      </c>
      <c r="G74">
        <v>0</v>
      </c>
      <c r="H74">
        <v>0</v>
      </c>
      <c r="I74">
        <v>0</v>
      </c>
      <c r="K74">
        <v>674289.1</v>
      </c>
      <c r="L74">
        <f>131500+1.186*D74+33.87*E74+2818.21*F74+10550*G74+21940*H74+17490*I74</f>
        <v>629872.50944000005</v>
      </c>
      <c r="M74">
        <f>K74-L74</f>
        <v>44416.590559999924</v>
      </c>
    </row>
    <row r="75" spans="4:13">
      <c r="D75">
        <v>55081.16</v>
      </c>
      <c r="E75">
        <v>5485</v>
      </c>
      <c r="F75">
        <v>88</v>
      </c>
      <c r="G75">
        <v>0</v>
      </c>
      <c r="H75">
        <v>0</v>
      </c>
      <c r="I75">
        <v>0</v>
      </c>
      <c r="K75">
        <v>674774.09</v>
      </c>
      <c r="L75">
        <f>131500+1.186*D75+33.87*E75+2818.21*F75+10550*G75+21940*H75+17490*I75</f>
        <v>630605.68576000002</v>
      </c>
      <c r="M75">
        <f>K75-L75</f>
        <v>44168.404239999945</v>
      </c>
    </row>
    <row r="76" spans="4:13">
      <c r="D76">
        <v>54948.02</v>
      </c>
      <c r="E76">
        <v>6534</v>
      </c>
      <c r="F76">
        <v>94.5</v>
      </c>
      <c r="G76">
        <v>0</v>
      </c>
      <c r="H76">
        <v>0</v>
      </c>
      <c r="I76">
        <v>0</v>
      </c>
      <c r="K76">
        <v>727957.48</v>
      </c>
      <c r="L76">
        <f>131500+1.186*D76+33.87*E76+2818.21*F76+10550*G76+21940*H76+17490*I76</f>
        <v>684295.77671999997</v>
      </c>
      <c r="M76">
        <f>K76-L76</f>
        <v>43661.703280000016</v>
      </c>
    </row>
    <row r="77" spans="4:13">
      <c r="D77">
        <v>90084.4</v>
      </c>
      <c r="E77">
        <v>6832</v>
      </c>
      <c r="F77">
        <v>80.5</v>
      </c>
      <c r="G77">
        <v>0</v>
      </c>
      <c r="H77">
        <v>0</v>
      </c>
      <c r="I77">
        <v>0</v>
      </c>
      <c r="K77">
        <v>740102.64</v>
      </c>
      <c r="L77">
        <f>131500+1.186*D77+33.87*E77+2818.21*F77+10550*G77+21940*H77+17490*I77</f>
        <v>696605.84340000001</v>
      </c>
      <c r="M77">
        <f>K77-L77</f>
        <v>43496.796600000001</v>
      </c>
    </row>
    <row r="78" spans="4:13">
      <c r="D78">
        <v>67722.289999999994</v>
      </c>
      <c r="E78">
        <v>7240</v>
      </c>
      <c r="F78">
        <v>92.9</v>
      </c>
      <c r="G78">
        <v>0</v>
      </c>
      <c r="H78">
        <v>0</v>
      </c>
      <c r="I78">
        <v>0</v>
      </c>
      <c r="K78">
        <v>762328.31</v>
      </c>
      <c r="L78">
        <f>131500+1.186*D78+33.87*E78+2818.21*F78+10550*G78+21940*H78+17490*I78</f>
        <v>718849.14494000003</v>
      </c>
      <c r="M78">
        <f>K78-L78</f>
        <v>43479.165060000028</v>
      </c>
    </row>
    <row r="79" spans="4:13">
      <c r="D79">
        <v>71855.09</v>
      </c>
      <c r="E79">
        <v>5911</v>
      </c>
      <c r="F79">
        <v>94.3</v>
      </c>
      <c r="G79">
        <v>0</v>
      </c>
      <c r="H79">
        <v>0</v>
      </c>
      <c r="I79">
        <v>0</v>
      </c>
      <c r="K79">
        <v>725847.99</v>
      </c>
      <c r="L79">
        <f>131500+1.186*D79+33.87*E79+2818.21*F79+10550*G79+21940*H79+17490*I79</f>
        <v>682682.90973999992</v>
      </c>
      <c r="M79">
        <f>K79-L79</f>
        <v>43165.080260000075</v>
      </c>
    </row>
    <row r="80" spans="4:13">
      <c r="D80">
        <v>55101.1</v>
      </c>
      <c r="E80">
        <v>5281</v>
      </c>
      <c r="F80">
        <v>91</v>
      </c>
      <c r="G80">
        <v>0</v>
      </c>
      <c r="H80">
        <v>0</v>
      </c>
      <c r="I80">
        <v>0</v>
      </c>
      <c r="K80">
        <v>675177.68</v>
      </c>
      <c r="L80">
        <f>131500+1.186*D80+33.87*E80+2818.21*F80+10550*G80+21940*H80+17490*I80</f>
        <v>632174.48459999997</v>
      </c>
      <c r="M80">
        <f>K80-L80</f>
        <v>43003.195400000084</v>
      </c>
    </row>
    <row r="81" spans="4:13">
      <c r="D81">
        <v>28670.43</v>
      </c>
      <c r="E81">
        <v>7574</v>
      </c>
      <c r="F81">
        <v>82.7</v>
      </c>
      <c r="G81">
        <v>0</v>
      </c>
      <c r="H81">
        <v>0</v>
      </c>
      <c r="I81">
        <v>0</v>
      </c>
      <c r="K81">
        <v>697888.09</v>
      </c>
      <c r="L81">
        <f>131500+1.186*D81+33.87*E81+2818.21*F81+10550*G81+21940*H81+17490*I81</f>
        <v>655100.47698000004</v>
      </c>
      <c r="M81">
        <f>K81-L81</f>
        <v>42787.613019999932</v>
      </c>
    </row>
    <row r="82" spans="4:13">
      <c r="D82">
        <v>71828.259999999995</v>
      </c>
      <c r="E82">
        <v>12775</v>
      </c>
      <c r="F82">
        <v>81.7</v>
      </c>
      <c r="G82">
        <v>0</v>
      </c>
      <c r="H82">
        <v>0</v>
      </c>
      <c r="I82">
        <v>0</v>
      </c>
      <c r="K82">
        <v>922168.6</v>
      </c>
      <c r="L82">
        <f>131500+1.186*D82+33.87*E82+2818.21*F82+10550*G82+21940*H82+17490*I82</f>
        <v>879625.32335999992</v>
      </c>
      <c r="M82">
        <f>K82-L82</f>
        <v>42543.276640000055</v>
      </c>
    </row>
    <row r="83" spans="4:13">
      <c r="D83">
        <v>36832.33</v>
      </c>
      <c r="E83">
        <v>8001</v>
      </c>
      <c r="F83">
        <v>88.7</v>
      </c>
      <c r="G83">
        <v>0</v>
      </c>
      <c r="H83">
        <v>0</v>
      </c>
      <c r="I83">
        <v>0</v>
      </c>
      <c r="K83">
        <v>738548.42</v>
      </c>
      <c r="L83">
        <f>131500+1.186*D83+33.87*E83+2818.21*F83+10550*G83+21940*H83+17490*I83</f>
        <v>696152.24038000009</v>
      </c>
      <c r="M83">
        <f>K83-L83</f>
        <v>42396.179619999952</v>
      </c>
    </row>
    <row r="84" spans="4:13">
      <c r="D84">
        <v>67494.09</v>
      </c>
      <c r="E84">
        <v>12361</v>
      </c>
      <c r="F84">
        <v>76.599999999999994</v>
      </c>
      <c r="G84">
        <v>0</v>
      </c>
      <c r="H84">
        <v>0</v>
      </c>
      <c r="I84">
        <v>0</v>
      </c>
      <c r="K84">
        <v>887537.75</v>
      </c>
      <c r="L84">
        <f>131500+1.186*D84+33.87*E84+2818.21*F84+10550*G84+21940*H84+17490*I84</f>
        <v>846089.94673999981</v>
      </c>
      <c r="M84">
        <f>K84-L84</f>
        <v>41447.80326000019</v>
      </c>
    </row>
    <row r="85" spans="4:13">
      <c r="D85">
        <v>75109.67</v>
      </c>
      <c r="E85">
        <v>6244</v>
      </c>
      <c r="F85">
        <v>96.3</v>
      </c>
      <c r="G85">
        <v>0</v>
      </c>
      <c r="H85">
        <v>0</v>
      </c>
      <c r="I85">
        <v>0</v>
      </c>
      <c r="K85">
        <v>743348.84</v>
      </c>
      <c r="L85">
        <f>131500+1.186*D85+33.87*E85+2818.21*F85+10550*G85+21940*H85+17490*I85</f>
        <v>703457.97161999997</v>
      </c>
      <c r="M85">
        <f>K85-L85</f>
        <v>39890.86838</v>
      </c>
    </row>
    <row r="86" spans="4:13">
      <c r="D86">
        <v>66104.19</v>
      </c>
      <c r="E86">
        <v>5745</v>
      </c>
      <c r="F86">
        <v>95.8</v>
      </c>
      <c r="G86">
        <v>0</v>
      </c>
      <c r="H86">
        <v>0</v>
      </c>
      <c r="I86">
        <v>0</v>
      </c>
      <c r="K86">
        <v>714083.68</v>
      </c>
      <c r="L86">
        <f>131500+1.186*D86+33.87*E86+2818.21*F86+10550*G86+21940*H86+17490*I86</f>
        <v>674467.23733999999</v>
      </c>
      <c r="M86">
        <f>K86-L86</f>
        <v>39616.442660000059</v>
      </c>
    </row>
    <row r="87" spans="4:13">
      <c r="D87">
        <v>50043.65</v>
      </c>
      <c r="E87">
        <v>3804</v>
      </c>
      <c r="F87">
        <v>90.9</v>
      </c>
      <c r="G87">
        <v>0</v>
      </c>
      <c r="H87">
        <v>0</v>
      </c>
      <c r="I87">
        <v>0</v>
      </c>
      <c r="K87">
        <v>614800.09</v>
      </c>
      <c r="L87">
        <f>131500+1.186*D87+33.87*E87+2818.21*F87+10550*G87+21940*H87+17490*I87</f>
        <v>575868.5379</v>
      </c>
      <c r="M87">
        <f>K87-L87</f>
        <v>38931.552099999972</v>
      </c>
    </row>
    <row r="88" spans="4:13">
      <c r="D88">
        <v>36475.71</v>
      </c>
      <c r="E88">
        <v>3559</v>
      </c>
      <c r="F88">
        <v>83.6</v>
      </c>
      <c r="G88">
        <v>0</v>
      </c>
      <c r="H88">
        <v>0</v>
      </c>
      <c r="I88">
        <v>0</v>
      </c>
      <c r="K88">
        <v>569100.78</v>
      </c>
      <c r="L88">
        <f>131500+1.186*D88+33.87*E88+2818.21*F88+10550*G88+21940*H88+17490*I88</f>
        <v>530905.87806000002</v>
      </c>
      <c r="M88">
        <f>K88-L88</f>
        <v>38194.901940000011</v>
      </c>
    </row>
    <row r="89" spans="4:13">
      <c r="D89">
        <v>39341.449999999997</v>
      </c>
      <c r="E89">
        <v>1375</v>
      </c>
      <c r="F89">
        <v>95</v>
      </c>
      <c r="G89">
        <v>0</v>
      </c>
      <c r="H89">
        <v>0</v>
      </c>
      <c r="I89">
        <v>0</v>
      </c>
      <c r="K89">
        <v>529598.93999999994</v>
      </c>
      <c r="L89">
        <f>131500+1.186*D89+33.87*E89+2818.21*F89+10550*G89+21940*H89+17490*I89</f>
        <v>492460.15970000002</v>
      </c>
      <c r="M89">
        <f>K89-L89</f>
        <v>37138.780299999926</v>
      </c>
    </row>
    <row r="90" spans="4:13">
      <c r="D90">
        <v>27398.28</v>
      </c>
      <c r="E90">
        <v>1723</v>
      </c>
      <c r="F90">
        <v>81</v>
      </c>
      <c r="G90">
        <v>0</v>
      </c>
      <c r="H90">
        <v>0</v>
      </c>
      <c r="I90">
        <v>0</v>
      </c>
      <c r="K90">
        <v>487738.26</v>
      </c>
      <c r="L90">
        <f>131500+1.186*D90+33.87*E90+2818.21*F90+10550*G90+21940*H90+17490*I90</f>
        <v>450627.38008000003</v>
      </c>
      <c r="M90">
        <f>K90-L90</f>
        <v>37110.879919999978</v>
      </c>
    </row>
    <row r="91" spans="4:13">
      <c r="D91">
        <v>45706.49</v>
      </c>
      <c r="E91">
        <v>6704</v>
      </c>
      <c r="F91">
        <v>94.2</v>
      </c>
      <c r="G91">
        <v>0</v>
      </c>
      <c r="H91">
        <v>0</v>
      </c>
      <c r="I91">
        <v>0</v>
      </c>
      <c r="K91">
        <v>715097.57</v>
      </c>
      <c r="L91">
        <f>131500+1.186*D91+33.87*E91+2818.21*F91+10550*G91+21940*H91+17490*I91</f>
        <v>678247.75913999998</v>
      </c>
      <c r="M91">
        <f>K91-L91</f>
        <v>36849.810859999969</v>
      </c>
    </row>
    <row r="92" spans="4:13">
      <c r="D92">
        <v>68212.289999999994</v>
      </c>
      <c r="E92">
        <v>4713</v>
      </c>
      <c r="F92">
        <v>82.6</v>
      </c>
      <c r="G92">
        <v>0</v>
      </c>
      <c r="H92">
        <v>0</v>
      </c>
      <c r="I92">
        <v>0</v>
      </c>
      <c r="K92">
        <v>641564.6</v>
      </c>
      <c r="L92">
        <f>131500+1.186*D92+33.87*E92+2818.21*F92+10550*G92+21940*H92+17490*I92</f>
        <v>604813.23193999997</v>
      </c>
      <c r="M92">
        <f>K92-L92</f>
        <v>36751.368060000008</v>
      </c>
    </row>
    <row r="93" spans="4:13">
      <c r="D93">
        <v>50825.08</v>
      </c>
      <c r="E93">
        <v>8949</v>
      </c>
      <c r="F93">
        <v>84.7</v>
      </c>
      <c r="G93">
        <v>0</v>
      </c>
      <c r="H93">
        <v>0</v>
      </c>
      <c r="I93">
        <v>0</v>
      </c>
      <c r="K93">
        <v>769702.76</v>
      </c>
      <c r="L93">
        <f>131500+1.186*D93+33.87*E93+2818.21*F93+10550*G93+21940*H93+17490*I93</f>
        <v>733583.56188000005</v>
      </c>
      <c r="M93">
        <f>K93-L93</f>
        <v>36119.198119999957</v>
      </c>
    </row>
    <row r="94" spans="4:13">
      <c r="D94">
        <v>48287.85</v>
      </c>
      <c r="E94">
        <v>5150</v>
      </c>
      <c r="F94">
        <v>80.400000000000006</v>
      </c>
      <c r="G94">
        <v>0</v>
      </c>
      <c r="H94">
        <v>0</v>
      </c>
      <c r="I94">
        <v>0</v>
      </c>
      <c r="K94">
        <v>625672.86</v>
      </c>
      <c r="L94">
        <f>131500+1.186*D94+33.87*E94+2818.21*F94+10550*G94+21940*H94+17490*I94</f>
        <v>589783.97409999999</v>
      </c>
      <c r="M94">
        <f>K94-L94</f>
        <v>35888.885899999994</v>
      </c>
    </row>
    <row r="95" spans="4:13">
      <c r="D95">
        <v>58688.26</v>
      </c>
      <c r="E95">
        <v>4022</v>
      </c>
      <c r="F95">
        <v>93.8</v>
      </c>
      <c r="G95">
        <v>0</v>
      </c>
      <c r="H95">
        <v>0</v>
      </c>
      <c r="I95">
        <v>0</v>
      </c>
      <c r="K95">
        <v>636613.23</v>
      </c>
      <c r="L95">
        <f>131500+1.186*D95+33.87*E95+2818.21*F95+10550*G95+21940*H95+17490*I95</f>
        <v>601677.51436000003</v>
      </c>
      <c r="M95">
        <f>K95-L95</f>
        <v>34935.715639999951</v>
      </c>
    </row>
    <row r="96" spans="4:13">
      <c r="D96">
        <v>73454.539999999994</v>
      </c>
      <c r="E96">
        <v>8129</v>
      </c>
      <c r="F96">
        <v>85.2</v>
      </c>
      <c r="G96">
        <v>0</v>
      </c>
      <c r="H96">
        <v>0</v>
      </c>
      <c r="I96">
        <v>0</v>
      </c>
      <c r="K96">
        <v>767792.94</v>
      </c>
      <c r="L96">
        <f>131500+1.186*D96+33.87*E96+2818.21*F96+10550*G96+21940*H96+17490*I96</f>
        <v>734057.80643999996</v>
      </c>
      <c r="M96">
        <f>K96-L96</f>
        <v>33735.133559999987</v>
      </c>
    </row>
    <row r="97" spans="4:13">
      <c r="D97">
        <v>86026.58</v>
      </c>
      <c r="E97">
        <v>7479</v>
      </c>
      <c r="F97">
        <v>89</v>
      </c>
      <c r="G97">
        <v>0</v>
      </c>
      <c r="H97">
        <v>0</v>
      </c>
      <c r="I97">
        <v>0</v>
      </c>
      <c r="K97">
        <v>771129.07</v>
      </c>
      <c r="L97">
        <f>131500+1.186*D97+33.87*E97+2818.21*F97+10550*G97+21940*H97+17490*I97</f>
        <v>737661.94387999992</v>
      </c>
      <c r="M97">
        <f>K97-L97</f>
        <v>33467.12612000003</v>
      </c>
    </row>
    <row r="98" spans="4:13">
      <c r="D98">
        <v>50198.12</v>
      </c>
      <c r="E98">
        <v>6089</v>
      </c>
      <c r="F98">
        <v>94</v>
      </c>
      <c r="G98">
        <v>0</v>
      </c>
      <c r="H98">
        <v>0</v>
      </c>
      <c r="I98">
        <v>0</v>
      </c>
      <c r="K98">
        <v>695098.51</v>
      </c>
      <c r="L98">
        <f>131500+1.186*D98+33.87*E98+2818.21*F98+10550*G98+21940*H98+17490*I98</f>
        <v>662181.14032000001</v>
      </c>
      <c r="M98">
        <f>K98-L98</f>
        <v>32917.369680000003</v>
      </c>
    </row>
    <row r="99" spans="4:13">
      <c r="D99">
        <v>70799.64</v>
      </c>
      <c r="E99">
        <v>10076</v>
      </c>
      <c r="F99">
        <v>84.8</v>
      </c>
      <c r="G99">
        <v>0</v>
      </c>
      <c r="H99">
        <v>0</v>
      </c>
      <c r="I99">
        <v>0</v>
      </c>
      <c r="K99">
        <v>828219.67</v>
      </c>
      <c r="L99">
        <f>131500+1.186*D99+33.87*E99+2818.21*F99+10550*G99+21940*H99+17490*I99</f>
        <v>795726.70103999996</v>
      </c>
      <c r="M99">
        <f>K99-L99</f>
        <v>32492.968960000086</v>
      </c>
    </row>
    <row r="100" spans="4:13">
      <c r="D100">
        <v>57147.88</v>
      </c>
      <c r="E100">
        <v>5252</v>
      </c>
      <c r="F100">
        <v>95.5</v>
      </c>
      <c r="G100">
        <v>0</v>
      </c>
      <c r="H100">
        <v>0</v>
      </c>
      <c r="I100">
        <v>0</v>
      </c>
      <c r="K100">
        <v>678311.17</v>
      </c>
      <c r="L100">
        <f>131500+1.186*D100+33.87*E100+2818.21*F100+10550*G100+21940*H100+17490*I100</f>
        <v>646301.68067999999</v>
      </c>
      <c r="M100">
        <f>K100-L100</f>
        <v>32009.489320000052</v>
      </c>
    </row>
    <row r="101" spans="4:13">
      <c r="D101">
        <v>55388.11</v>
      </c>
      <c r="E101">
        <v>3091</v>
      </c>
      <c r="F101">
        <v>85.4</v>
      </c>
      <c r="G101">
        <v>0</v>
      </c>
      <c r="H101">
        <v>0</v>
      </c>
      <c r="I101">
        <v>0</v>
      </c>
      <c r="K101">
        <v>574436.29</v>
      </c>
      <c r="L101">
        <f>131500+1.186*D101+33.87*E101+2818.21*F101+10550*G101+21940*H101+17490*I101</f>
        <v>542557.60245999997</v>
      </c>
      <c r="M101">
        <f>K101-L101</f>
        <v>31878.687540000072</v>
      </c>
    </row>
    <row r="102" spans="4:13">
      <c r="D102">
        <v>25818.080000000002</v>
      </c>
      <c r="E102">
        <v>5457</v>
      </c>
      <c r="F102">
        <v>95.4</v>
      </c>
      <c r="G102">
        <v>0</v>
      </c>
      <c r="H102">
        <v>0</v>
      </c>
      <c r="I102">
        <v>0</v>
      </c>
      <c r="K102">
        <v>647512.85</v>
      </c>
      <c r="L102">
        <f>131500+1.186*D102+33.87*E102+2818.21*F102+10550*G102+21940*H102+17490*I102</f>
        <v>615806.06688000006</v>
      </c>
      <c r="M102">
        <f>K102-L102</f>
        <v>31706.78311999992</v>
      </c>
    </row>
    <row r="103" spans="4:13">
      <c r="D103">
        <v>66250.53</v>
      </c>
      <c r="E103">
        <v>10618</v>
      </c>
      <c r="F103">
        <v>88.3</v>
      </c>
      <c r="G103">
        <v>0</v>
      </c>
      <c r="H103">
        <v>0</v>
      </c>
      <c r="I103">
        <v>0</v>
      </c>
      <c r="K103">
        <v>849018.3</v>
      </c>
      <c r="L103">
        <f>131500+1.186*D103+33.87*E103+2818.21*F103+10550*G103+21940*H103+17490*I103</f>
        <v>818552.73157999991</v>
      </c>
      <c r="M103">
        <f>K103-L103</f>
        <v>30465.568420000141</v>
      </c>
    </row>
    <row r="104" spans="4:13">
      <c r="D104">
        <v>66456.28</v>
      </c>
      <c r="E104">
        <v>9967</v>
      </c>
      <c r="F104">
        <v>94.7</v>
      </c>
      <c r="G104">
        <v>0</v>
      </c>
      <c r="H104">
        <v>0</v>
      </c>
      <c r="I104">
        <v>0</v>
      </c>
      <c r="K104">
        <v>844710.67</v>
      </c>
      <c r="L104">
        <f>131500+1.186*D104+33.87*E104+2818.21*F104+10550*G104+21940*H104+17490*I104</f>
        <v>814783.92507999996</v>
      </c>
      <c r="M104">
        <f>K104-L104</f>
        <v>29926.744920000085</v>
      </c>
    </row>
    <row r="105" spans="4:13">
      <c r="D105">
        <v>42267.37</v>
      </c>
      <c r="E105">
        <v>3364</v>
      </c>
      <c r="F105">
        <v>82</v>
      </c>
      <c r="G105">
        <v>0</v>
      </c>
      <c r="H105">
        <v>0</v>
      </c>
      <c r="I105">
        <v>0</v>
      </c>
      <c r="K105">
        <v>555929.4</v>
      </c>
      <c r="L105">
        <f>131500+1.186*D105+33.87*E105+2818.21*F105+10550*G105+21940*H105+17490*I105</f>
        <v>526661.00081999996</v>
      </c>
      <c r="M105">
        <f>K105-L105</f>
        <v>29268.399180000066</v>
      </c>
    </row>
    <row r="106" spans="4:13">
      <c r="D106">
        <v>43319.94</v>
      </c>
      <c r="E106">
        <v>6551</v>
      </c>
      <c r="F106">
        <v>99</v>
      </c>
      <c r="G106">
        <v>0</v>
      </c>
      <c r="H106">
        <v>0</v>
      </c>
      <c r="I106">
        <v>0</v>
      </c>
      <c r="K106">
        <v>712868.35</v>
      </c>
      <c r="L106">
        <f>131500+1.186*D106+33.87*E106+2818.21*F106+10550*G106+21940*H106+17490*I106</f>
        <v>683762.60883999988</v>
      </c>
      <c r="M106">
        <f>K106-L106</f>
        <v>29105.741160000092</v>
      </c>
    </row>
    <row r="107" spans="4:13">
      <c r="D107">
        <v>53546.34</v>
      </c>
      <c r="E107">
        <v>8004</v>
      </c>
      <c r="F107">
        <v>95.2</v>
      </c>
      <c r="G107">
        <v>0</v>
      </c>
      <c r="H107">
        <v>0</v>
      </c>
      <c r="I107">
        <v>0</v>
      </c>
      <c r="K107">
        <v>763159.92</v>
      </c>
      <c r="L107">
        <f>131500+1.186*D107+33.87*E107+2818.21*F107+10550*G107+21940*H107+17490*I107</f>
        <v>734395.03123999992</v>
      </c>
      <c r="M107">
        <f>K107-L107</f>
        <v>28764.888760000118</v>
      </c>
    </row>
    <row r="108" spans="4:13">
      <c r="D108">
        <v>56602.39</v>
      </c>
      <c r="E108">
        <v>7969</v>
      </c>
      <c r="F108">
        <v>88.3</v>
      </c>
      <c r="G108">
        <v>0</v>
      </c>
      <c r="H108">
        <v>0</v>
      </c>
      <c r="I108">
        <v>0</v>
      </c>
      <c r="K108">
        <v>745580.51</v>
      </c>
      <c r="L108">
        <f>131500+1.186*D108+33.87*E108+2818.21*F108+10550*G108+21940*H108+17490*I108</f>
        <v>717388.40753999993</v>
      </c>
      <c r="M108">
        <f>K108-L108</f>
        <v>28192.102460000082</v>
      </c>
    </row>
    <row r="109" spans="4:13">
      <c r="D109">
        <v>81801.8</v>
      </c>
      <c r="E109">
        <v>6782</v>
      </c>
      <c r="F109">
        <v>99</v>
      </c>
      <c r="G109">
        <v>0</v>
      </c>
      <c r="H109">
        <v>0</v>
      </c>
      <c r="I109">
        <v>0</v>
      </c>
      <c r="K109">
        <v>764949</v>
      </c>
      <c r="L109">
        <f>131500+1.186*D109+33.87*E109+2818.21*F109+10550*G109+21940*H109+17490*I109</f>
        <v>737226.06480000005</v>
      </c>
      <c r="M109">
        <f>K109-L109</f>
        <v>27722.935199999949</v>
      </c>
    </row>
    <row r="110" spans="4:13">
      <c r="D110">
        <v>97480.94</v>
      </c>
      <c r="E110">
        <v>6840</v>
      </c>
      <c r="F110">
        <v>79.2</v>
      </c>
      <c r="G110">
        <v>0</v>
      </c>
      <c r="H110">
        <v>0</v>
      </c>
      <c r="I110">
        <v>0</v>
      </c>
      <c r="K110">
        <v>729440.45</v>
      </c>
      <c r="L110">
        <f>131500+1.186*D110+33.87*E110+2818.21*F110+10550*G110+21940*H110+17490*I110</f>
        <v>701985.42684000009</v>
      </c>
      <c r="M110">
        <f>K110-L110</f>
        <v>27455.023159999866</v>
      </c>
    </row>
    <row r="111" spans="4:13">
      <c r="D111">
        <v>78967.520000000004</v>
      </c>
      <c r="E111">
        <v>6164</v>
      </c>
      <c r="F111">
        <v>85.5</v>
      </c>
      <c r="G111">
        <v>0</v>
      </c>
      <c r="H111">
        <v>0</v>
      </c>
      <c r="I111">
        <v>0</v>
      </c>
      <c r="K111">
        <v>702052.47</v>
      </c>
      <c r="L111">
        <f>131500+1.186*D111+33.87*E111+2818.21*F111+10550*G111+21940*H111+17490*I111</f>
        <v>674887.11372000002</v>
      </c>
      <c r="M111">
        <f>K111-L111</f>
        <v>27165.356279999949</v>
      </c>
    </row>
    <row r="112" spans="4:13">
      <c r="D112">
        <v>75305.710000000006</v>
      </c>
      <c r="E112">
        <v>10940</v>
      </c>
      <c r="F112">
        <v>76.5</v>
      </c>
      <c r="G112">
        <v>0</v>
      </c>
      <c r="H112">
        <v>0</v>
      </c>
      <c r="I112">
        <v>0</v>
      </c>
      <c r="K112">
        <v>834017.02</v>
      </c>
      <c r="L112">
        <f>131500+1.186*D112+33.87*E112+2818.21*F112+10550*G112+21940*H112+17490*I112</f>
        <v>806943.43705999991</v>
      </c>
      <c r="M112">
        <f>K112-L112</f>
        <v>27073.582940000109</v>
      </c>
    </row>
    <row r="113" spans="4:13">
      <c r="D113">
        <v>62507.16</v>
      </c>
      <c r="E113">
        <v>6000</v>
      </c>
      <c r="F113">
        <v>98.2</v>
      </c>
      <c r="G113">
        <v>0</v>
      </c>
      <c r="H113">
        <v>0</v>
      </c>
      <c r="I113">
        <v>0</v>
      </c>
      <c r="K113">
        <v>712375.77</v>
      </c>
      <c r="L113">
        <f>131500+1.186*D113+33.87*E113+2818.21*F113+10550*G113+21940*H113+17490*I113</f>
        <v>685601.71375999996</v>
      </c>
      <c r="M113">
        <f>K113-L113</f>
        <v>26774.056240000064</v>
      </c>
    </row>
    <row r="114" spans="4:13">
      <c r="D114">
        <v>16451.849999999999</v>
      </c>
      <c r="E114">
        <v>4678</v>
      </c>
      <c r="F114">
        <v>95.9</v>
      </c>
      <c r="G114">
        <v>0</v>
      </c>
      <c r="H114">
        <v>0</v>
      </c>
      <c r="I114">
        <v>0</v>
      </c>
      <c r="K114">
        <v>606278.30000000005</v>
      </c>
      <c r="L114">
        <f>131500+1.186*D114+33.87*E114+2818.21*F114+10550*G114+21940*H114+17490*I114</f>
        <v>579722.09310000006</v>
      </c>
      <c r="M114">
        <f>K114-L114</f>
        <v>26556.20689999999</v>
      </c>
    </row>
    <row r="115" spans="4:13">
      <c r="D115">
        <v>64882.14</v>
      </c>
      <c r="E115">
        <v>3642</v>
      </c>
      <c r="F115">
        <v>87.8</v>
      </c>
      <c r="G115">
        <v>0</v>
      </c>
      <c r="H115">
        <v>0</v>
      </c>
      <c r="I115">
        <v>0</v>
      </c>
      <c r="K115">
        <v>605178</v>
      </c>
      <c r="L115">
        <f>131500+1.186*D115+33.87*E115+2818.21*F115+10550*G115+21940*H115+17490*I115</f>
        <v>579243.59603999997</v>
      </c>
      <c r="M115">
        <f>K115-L115</f>
        <v>25934.403960000025</v>
      </c>
    </row>
    <row r="116" spans="4:13">
      <c r="D116">
        <v>52715.1</v>
      </c>
      <c r="E116">
        <v>7223</v>
      </c>
      <c r="F116">
        <v>84.2</v>
      </c>
      <c r="G116">
        <v>0</v>
      </c>
      <c r="H116">
        <v>0</v>
      </c>
      <c r="I116">
        <v>0</v>
      </c>
      <c r="K116">
        <v>701641.97</v>
      </c>
      <c r="L116">
        <f>131500+1.186*D116+33.87*E116+2818.21*F116+10550*G116+21940*H116+17490*I116</f>
        <v>675956.40059999994</v>
      </c>
      <c r="M116">
        <f>K116-L116</f>
        <v>25685.569400000037</v>
      </c>
    </row>
    <row r="117" spans="4:13">
      <c r="D117">
        <v>78432.14</v>
      </c>
      <c r="E117">
        <v>9440</v>
      </c>
      <c r="F117">
        <v>89.2</v>
      </c>
      <c r="G117">
        <v>0</v>
      </c>
      <c r="H117">
        <v>0</v>
      </c>
      <c r="I117">
        <v>0</v>
      </c>
      <c r="K117">
        <v>820729.29</v>
      </c>
      <c r="L117">
        <f>131500+1.186*D117+33.87*E117+2818.21*F117+10550*G117+21940*H117+17490*I117</f>
        <v>795637.6500400001</v>
      </c>
      <c r="M117">
        <f>K117-L117</f>
        <v>25091.639959999942</v>
      </c>
    </row>
    <row r="118" spans="4:13">
      <c r="D118">
        <v>40923.67</v>
      </c>
      <c r="E118">
        <v>3875</v>
      </c>
      <c r="F118">
        <v>96.1</v>
      </c>
      <c r="G118">
        <v>0</v>
      </c>
      <c r="H118">
        <v>0</v>
      </c>
      <c r="I118">
        <v>0</v>
      </c>
      <c r="K118">
        <v>606783.67000000004</v>
      </c>
      <c r="L118">
        <f>131500+1.186*D118+33.87*E118+2818.21*F118+10550*G118+21940*H118+17490*I118</f>
        <v>582111.70362000004</v>
      </c>
      <c r="M118">
        <f>K118-L118</f>
        <v>24671.966379999998</v>
      </c>
    </row>
    <row r="119" spans="4:13">
      <c r="D119">
        <v>46123.88</v>
      </c>
      <c r="E119">
        <v>3227</v>
      </c>
      <c r="F119">
        <v>75.400000000000006</v>
      </c>
      <c r="G119">
        <v>0</v>
      </c>
      <c r="H119">
        <v>0</v>
      </c>
      <c r="I119">
        <v>0</v>
      </c>
      <c r="K119">
        <v>532644.46</v>
      </c>
      <c r="L119">
        <f>131500+1.186*D119+33.87*E119+2818.21*F119+10550*G119+21940*H119+17490*I119</f>
        <v>507994.44568</v>
      </c>
      <c r="M119">
        <f>K119-L119</f>
        <v>24650.014319999958</v>
      </c>
    </row>
    <row r="120" spans="4:13">
      <c r="D120">
        <v>49710.29</v>
      </c>
      <c r="E120">
        <v>5559</v>
      </c>
      <c r="F120">
        <v>71</v>
      </c>
      <c r="G120">
        <v>0</v>
      </c>
      <c r="H120">
        <v>0</v>
      </c>
      <c r="I120">
        <v>0</v>
      </c>
      <c r="K120">
        <v>603297.56999999995</v>
      </c>
      <c r="L120">
        <f>131500+1.186*D120+33.87*E120+2818.21*F120+10550*G120+21940*H120+17490*I120</f>
        <v>578832.64393999998</v>
      </c>
      <c r="M120">
        <f>K120-L120</f>
        <v>24464.926059999969</v>
      </c>
    </row>
    <row r="121" spans="4:13">
      <c r="D121">
        <v>40102.879999999997</v>
      </c>
      <c r="E121">
        <v>2358</v>
      </c>
      <c r="F121">
        <v>88.7</v>
      </c>
      <c r="G121">
        <v>0</v>
      </c>
      <c r="H121">
        <v>0</v>
      </c>
      <c r="I121">
        <v>0</v>
      </c>
      <c r="K121">
        <v>533121.26</v>
      </c>
      <c r="L121">
        <f>131500+1.186*D121+33.87*E121+2818.21*F121+10550*G121+21940*H121+17490*I121</f>
        <v>508902.70267999999</v>
      </c>
      <c r="M121">
        <f>K121-L121</f>
        <v>24218.557320000022</v>
      </c>
    </row>
    <row r="122" spans="4:13">
      <c r="D122">
        <v>44211.95</v>
      </c>
      <c r="E122">
        <v>5465</v>
      </c>
      <c r="F122">
        <v>90</v>
      </c>
      <c r="G122">
        <v>0</v>
      </c>
      <c r="H122">
        <v>0</v>
      </c>
      <c r="I122">
        <v>0</v>
      </c>
      <c r="K122">
        <v>646559.71</v>
      </c>
      <c r="L122">
        <f>131500+1.186*D122+33.87*E122+2818.21*F122+10550*G122+21940*H122+17490*I122</f>
        <v>622673.82270000002</v>
      </c>
      <c r="M122">
        <f>K122-L122</f>
        <v>23885.887299999944</v>
      </c>
    </row>
    <row r="123" spans="4:13">
      <c r="D123">
        <v>44189.34</v>
      </c>
      <c r="E123">
        <v>8634</v>
      </c>
      <c r="F123">
        <v>87.5</v>
      </c>
      <c r="G123">
        <v>0</v>
      </c>
      <c r="H123">
        <v>0</v>
      </c>
      <c r="I123">
        <v>0</v>
      </c>
      <c r="K123">
        <v>746115.59</v>
      </c>
      <c r="L123">
        <f>131500+1.186*D123+33.87*E123+2818.21*F123+10550*G123+21940*H123+17490*I123</f>
        <v>722935.51223999995</v>
      </c>
      <c r="M123">
        <f>K123-L123</f>
        <v>23180.077760000015</v>
      </c>
    </row>
    <row r="124" spans="4:13">
      <c r="D124">
        <v>26248.1</v>
      </c>
      <c r="E124">
        <v>9314</v>
      </c>
      <c r="F124">
        <v>83.7</v>
      </c>
      <c r="G124">
        <v>0</v>
      </c>
      <c r="H124">
        <v>0</v>
      </c>
      <c r="I124">
        <v>0</v>
      </c>
      <c r="K124">
        <v>737070.18</v>
      </c>
      <c r="L124">
        <f>131500+1.186*D124+33.87*E124+2818.21*F124+10550*G124+21940*H124+17490*I124</f>
        <v>713979.60360000003</v>
      </c>
      <c r="M124">
        <f>K124-L124</f>
        <v>23090.57640000002</v>
      </c>
    </row>
    <row r="125" spans="4:13">
      <c r="D125">
        <v>14519.37</v>
      </c>
      <c r="E125">
        <v>3047</v>
      </c>
      <c r="F125">
        <v>90.3</v>
      </c>
      <c r="G125">
        <v>0</v>
      </c>
      <c r="H125">
        <v>0</v>
      </c>
      <c r="I125">
        <v>0</v>
      </c>
      <c r="K125">
        <v>528852.62</v>
      </c>
      <c r="L125">
        <f>131500+1.186*D125+33.87*E125+2818.21*F125+10550*G125+21940*H125+17490*I125</f>
        <v>506406.22581999993</v>
      </c>
      <c r="M125">
        <f>K125-L125</f>
        <v>22446.394180000061</v>
      </c>
    </row>
    <row r="126" spans="4:13">
      <c r="D126">
        <v>70012.41</v>
      </c>
      <c r="E126">
        <v>8484</v>
      </c>
      <c r="F126">
        <v>72.900000000000006</v>
      </c>
      <c r="G126">
        <v>0</v>
      </c>
      <c r="H126">
        <v>0</v>
      </c>
      <c r="I126">
        <v>0</v>
      </c>
      <c r="K126">
        <v>729424.42</v>
      </c>
      <c r="L126">
        <f>131500+1.186*D126+33.87*E126+2818.21*F126+10550*G126+21940*H126+17490*I126</f>
        <v>707335.30725999991</v>
      </c>
      <c r="M126">
        <f>K126-L126</f>
        <v>22089.112740000128</v>
      </c>
    </row>
    <row r="127" spans="4:13">
      <c r="D127">
        <v>46213.45</v>
      </c>
      <c r="E127">
        <v>10616</v>
      </c>
      <c r="F127">
        <v>85.2</v>
      </c>
      <c r="G127">
        <v>0</v>
      </c>
      <c r="H127">
        <v>0</v>
      </c>
      <c r="I127">
        <v>0</v>
      </c>
      <c r="K127">
        <v>806615.54</v>
      </c>
      <c r="L127">
        <f>131500+1.186*D127+33.87*E127+2818.21*F127+10550*G127+21940*H127+17490*I127</f>
        <v>785984.56369999994</v>
      </c>
      <c r="M127">
        <f>K127-L127</f>
        <v>20630.976300000097</v>
      </c>
    </row>
    <row r="128" spans="4:13">
      <c r="D128">
        <v>62582.71</v>
      </c>
      <c r="E128">
        <v>5479</v>
      </c>
      <c r="F128">
        <v>81.2</v>
      </c>
      <c r="G128">
        <v>0</v>
      </c>
      <c r="H128">
        <v>0</v>
      </c>
      <c r="I128">
        <v>0</v>
      </c>
      <c r="K128">
        <v>640666.53</v>
      </c>
      <c r="L128">
        <f>131500+1.186*D128+33.87*E128+2818.21*F128+10550*G128+21940*H128+17490*I128</f>
        <v>620135.47606000002</v>
      </c>
      <c r="M128">
        <f>K128-L128</f>
        <v>20531.053940000013</v>
      </c>
    </row>
    <row r="129" spans="4:13">
      <c r="D129">
        <v>69411.7</v>
      </c>
      <c r="E129">
        <v>5493</v>
      </c>
      <c r="F129">
        <v>86.5</v>
      </c>
      <c r="G129">
        <v>0</v>
      </c>
      <c r="H129">
        <v>0</v>
      </c>
      <c r="I129">
        <v>0</v>
      </c>
      <c r="K129">
        <v>664162.49</v>
      </c>
      <c r="L129">
        <f>131500+1.186*D129+33.87*E129+2818.21*F129+10550*G129+21940*H129+17490*I129</f>
        <v>643645.35120000003</v>
      </c>
      <c r="M129">
        <f>K129-L129</f>
        <v>20517.138799999957</v>
      </c>
    </row>
    <row r="130" spans="4:13">
      <c r="D130">
        <v>40462.94</v>
      </c>
      <c r="E130">
        <v>3660</v>
      </c>
      <c r="F130">
        <v>95.2</v>
      </c>
      <c r="G130">
        <v>0</v>
      </c>
      <c r="H130">
        <v>0</v>
      </c>
      <c r="I130">
        <v>0</v>
      </c>
      <c r="K130">
        <v>592195.85</v>
      </c>
      <c r="L130">
        <f>131500+1.186*D130+33.87*E130+2818.21*F130+10550*G130+21940*H130+17490*I130</f>
        <v>571746.83883999998</v>
      </c>
      <c r="M130">
        <f>K130-L130</f>
        <v>20449.011159999995</v>
      </c>
    </row>
    <row r="131" spans="4:13">
      <c r="D131">
        <v>76942.2</v>
      </c>
      <c r="E131">
        <v>8934</v>
      </c>
      <c r="F131">
        <v>91</v>
      </c>
      <c r="G131">
        <v>0</v>
      </c>
      <c r="H131">
        <v>0</v>
      </c>
      <c r="I131">
        <v>0</v>
      </c>
      <c r="K131">
        <v>802001.68</v>
      </c>
      <c r="L131">
        <f>131500+1.186*D131+33.87*E131+2818.21*F131+10550*G131+21940*H131+17490*I131</f>
        <v>781805.13919999998</v>
      </c>
      <c r="M131">
        <f>K131-L131</f>
        <v>20196.540800000075</v>
      </c>
    </row>
    <row r="132" spans="4:13">
      <c r="D132">
        <v>47391.09</v>
      </c>
      <c r="E132">
        <v>11224</v>
      </c>
      <c r="F132">
        <v>88.4</v>
      </c>
      <c r="G132">
        <v>0</v>
      </c>
      <c r="H132">
        <v>0</v>
      </c>
      <c r="I132">
        <v>0</v>
      </c>
      <c r="K132">
        <v>836908.24</v>
      </c>
      <c r="L132">
        <f>131500+1.186*D132+33.87*E132+2818.21*F132+10550*G132+21940*H132+17490*I132</f>
        <v>816992.47673999984</v>
      </c>
      <c r="M132">
        <f>K132-L132</f>
        <v>19915.763260000153</v>
      </c>
    </row>
    <row r="133" spans="4:13">
      <c r="D133">
        <v>50532.17</v>
      </c>
      <c r="E133">
        <v>5689</v>
      </c>
      <c r="F133">
        <v>85.6</v>
      </c>
      <c r="G133">
        <v>0</v>
      </c>
      <c r="H133">
        <v>0</v>
      </c>
      <c r="I133">
        <v>0</v>
      </c>
      <c r="K133">
        <v>645039.97</v>
      </c>
      <c r="L133">
        <f>131500+1.186*D133+33.87*E133+2818.21*F133+10550*G133+21940*H133+17490*I133</f>
        <v>625356.35962</v>
      </c>
      <c r="M133">
        <f>K133-L133</f>
        <v>19683.610379999969</v>
      </c>
    </row>
    <row r="134" spans="4:13">
      <c r="D134">
        <v>42018.400000000001</v>
      </c>
      <c r="E134">
        <v>8296</v>
      </c>
      <c r="F134">
        <v>91.8</v>
      </c>
      <c r="G134">
        <v>0</v>
      </c>
      <c r="H134">
        <v>0</v>
      </c>
      <c r="I134">
        <v>0</v>
      </c>
      <c r="K134">
        <v>740496.65</v>
      </c>
      <c r="L134">
        <f>131500+1.186*D134+33.87*E134+2818.21*F134+10550*G134+21940*H134+17490*I134</f>
        <v>721031.02039999992</v>
      </c>
      <c r="M134">
        <f>K134-L134</f>
        <v>19465.629600000102</v>
      </c>
    </row>
    <row r="135" spans="4:13">
      <c r="D135">
        <v>42093.84</v>
      </c>
      <c r="E135">
        <v>4074</v>
      </c>
      <c r="F135">
        <v>88</v>
      </c>
      <c r="G135">
        <v>0</v>
      </c>
      <c r="H135">
        <v>0</v>
      </c>
      <c r="I135">
        <v>0</v>
      </c>
      <c r="K135">
        <v>585365.73</v>
      </c>
      <c r="L135">
        <f>131500+1.186*D135+33.87*E135+2818.21*F135+10550*G135+21940*H135+17490*I135</f>
        <v>567412.15423999995</v>
      </c>
      <c r="M135">
        <f>K135-L135</f>
        <v>17953.575760000036</v>
      </c>
    </row>
    <row r="136" spans="4:13">
      <c r="D136">
        <v>65012.19</v>
      </c>
      <c r="E136">
        <v>9598</v>
      </c>
      <c r="F136">
        <v>98.3</v>
      </c>
      <c r="G136">
        <v>0</v>
      </c>
      <c r="H136">
        <v>0</v>
      </c>
      <c r="I136">
        <v>0</v>
      </c>
      <c r="K136">
        <v>828623.85</v>
      </c>
      <c r="L136">
        <f>131500+1.186*D136+33.87*E136+2818.21*F136+10550*G136+21940*H136+17490*I136</f>
        <v>810718.76034000004</v>
      </c>
      <c r="M136">
        <f>K136-L136</f>
        <v>17905.08965999994</v>
      </c>
    </row>
    <row r="137" spans="4:13">
      <c r="D137">
        <v>55788.61</v>
      </c>
      <c r="E137">
        <v>2312</v>
      </c>
      <c r="F137">
        <v>91.3</v>
      </c>
      <c r="G137">
        <v>0</v>
      </c>
      <c r="H137">
        <v>0</v>
      </c>
      <c r="I137">
        <v>0</v>
      </c>
      <c r="K137">
        <v>550962.93000000005</v>
      </c>
      <c r="L137">
        <f>131500+1.186*D137+33.87*E137+2818.21*F137+10550*G137+21940*H137+17490*I137</f>
        <v>533275.30446000001</v>
      </c>
      <c r="M137">
        <f>K137-L137</f>
        <v>17687.625540000037</v>
      </c>
    </row>
    <row r="138" spans="4:13">
      <c r="D138">
        <v>64374.75</v>
      </c>
      <c r="E138">
        <v>6740</v>
      </c>
      <c r="F138">
        <v>87</v>
      </c>
      <c r="G138">
        <v>0</v>
      </c>
      <c r="H138">
        <v>0</v>
      </c>
      <c r="I138">
        <v>0</v>
      </c>
      <c r="K138">
        <v>698492.67</v>
      </c>
      <c r="L138">
        <f>131500+1.186*D138+33.87*E138+2818.21*F138+10550*G138+21940*H138+17490*I138</f>
        <v>681316.52350000001</v>
      </c>
      <c r="M138">
        <f>K138-L138</f>
        <v>17176.146500000032</v>
      </c>
    </row>
    <row r="139" spans="4:13">
      <c r="D139">
        <v>57225.98</v>
      </c>
      <c r="E139">
        <v>2842</v>
      </c>
      <c r="F139">
        <v>79.5</v>
      </c>
      <c r="G139">
        <v>0</v>
      </c>
      <c r="H139">
        <v>0</v>
      </c>
      <c r="I139">
        <v>0</v>
      </c>
      <c r="K139">
        <v>536545.49</v>
      </c>
      <c r="L139">
        <f>131500+1.186*D139+33.87*E139+2818.21*F139+10550*G139+21940*H139+17490*I139</f>
        <v>519676.24728000001</v>
      </c>
      <c r="M139">
        <f>K139-L139</f>
        <v>16869.24271999998</v>
      </c>
    </row>
    <row r="140" spans="4:13">
      <c r="D140">
        <v>38752.800000000003</v>
      </c>
      <c r="E140">
        <v>4712</v>
      </c>
      <c r="F140">
        <v>89.7</v>
      </c>
      <c r="G140">
        <v>0</v>
      </c>
      <c r="H140">
        <v>0</v>
      </c>
      <c r="I140">
        <v>0</v>
      </c>
      <c r="K140">
        <v>605775.32999999996</v>
      </c>
      <c r="L140">
        <f>131500+1.186*D140+33.87*E140+2818.21*F140+10550*G140+21940*H140+17490*I140</f>
        <v>589849.69779999997</v>
      </c>
      <c r="M140">
        <f>K140-L140</f>
        <v>15925.632199999993</v>
      </c>
    </row>
    <row r="141" spans="4:13">
      <c r="D141">
        <v>19365.060000000001</v>
      </c>
      <c r="E141">
        <v>2378</v>
      </c>
      <c r="F141">
        <v>94.8</v>
      </c>
      <c r="G141">
        <v>0</v>
      </c>
      <c r="H141">
        <v>0</v>
      </c>
      <c r="I141">
        <v>0</v>
      </c>
      <c r="K141">
        <v>518049.26</v>
      </c>
      <c r="L141">
        <f>131500+1.186*D141+33.87*E141+2818.21*F141+10550*G141+21940*H141+17490*I141</f>
        <v>502176.12916000001</v>
      </c>
      <c r="M141">
        <f>K141-L141</f>
        <v>15873.130839999998</v>
      </c>
    </row>
    <row r="142" spans="4:13">
      <c r="D142">
        <v>59825.51</v>
      </c>
      <c r="E142">
        <v>1231</v>
      </c>
      <c r="F142">
        <v>84.8</v>
      </c>
      <c r="G142">
        <v>0</v>
      </c>
      <c r="H142">
        <v>0</v>
      </c>
      <c r="I142">
        <v>0</v>
      </c>
      <c r="K142">
        <v>498970.32</v>
      </c>
      <c r="L142">
        <f>131500+1.186*D142+33.87*E142+2818.21*F142+10550*G142+21940*H142+17490*I142</f>
        <v>483131.23285999999</v>
      </c>
      <c r="M142">
        <f>K142-L142</f>
        <v>15839.087140000018</v>
      </c>
    </row>
    <row r="143" spans="4:13">
      <c r="D143">
        <v>63457.19</v>
      </c>
      <c r="E143">
        <v>10125</v>
      </c>
      <c r="F143">
        <v>87</v>
      </c>
      <c r="G143">
        <v>0</v>
      </c>
      <c r="H143">
        <v>0</v>
      </c>
      <c r="I143">
        <v>0</v>
      </c>
      <c r="K143">
        <v>810446.53</v>
      </c>
      <c r="L143">
        <f>131500+1.186*D143+33.87*E143+2818.21*F143+10550*G143+21940*H143+17490*I143</f>
        <v>794878.24734</v>
      </c>
      <c r="M143">
        <f>K143-L143</f>
        <v>15568.282660000026</v>
      </c>
    </row>
    <row r="144" spans="4:13">
      <c r="D144">
        <v>33987.33</v>
      </c>
      <c r="E144">
        <v>5014</v>
      </c>
      <c r="F144">
        <v>94.3</v>
      </c>
      <c r="G144">
        <v>0</v>
      </c>
      <c r="H144">
        <v>0</v>
      </c>
      <c r="I144">
        <v>0</v>
      </c>
      <c r="K144">
        <v>622892.42000000004</v>
      </c>
      <c r="L144">
        <f>131500+1.186*D144+33.87*E144+2818.21*F144+10550*G144+21940*H144+17490*I144</f>
        <v>607390.35638000001</v>
      </c>
      <c r="M144">
        <f>K144-L144</f>
        <v>15502.06362000003</v>
      </c>
    </row>
    <row r="145" spans="4:13">
      <c r="D145">
        <v>53367.73</v>
      </c>
      <c r="E145">
        <v>7291</v>
      </c>
      <c r="F145">
        <v>90.6</v>
      </c>
      <c r="G145">
        <v>0</v>
      </c>
      <c r="H145">
        <v>0</v>
      </c>
      <c r="I145">
        <v>0</v>
      </c>
      <c r="K145">
        <v>712219.81</v>
      </c>
      <c r="L145">
        <f>131500+1.186*D145+33.87*E145+2818.21*F145+10550*G145+21940*H145+17490*I145</f>
        <v>697070.12378000002</v>
      </c>
      <c r="M145">
        <f>K145-L145</f>
        <v>15149.686220000032</v>
      </c>
    </row>
    <row r="146" spans="4:13">
      <c r="D146">
        <v>72784.800000000003</v>
      </c>
      <c r="E146">
        <v>7932</v>
      </c>
      <c r="F146">
        <v>74.900000000000006</v>
      </c>
      <c r="G146">
        <v>0</v>
      </c>
      <c r="H146">
        <v>0</v>
      </c>
      <c r="I146">
        <v>0</v>
      </c>
      <c r="K146">
        <v>712546.38</v>
      </c>
      <c r="L146">
        <f>131500+1.186*D146+33.87*E146+2818.21*F146+10550*G146+21940*H146+17490*I146</f>
        <v>697563.54180000001</v>
      </c>
      <c r="M146">
        <f>K146-L146</f>
        <v>14982.838199999998</v>
      </c>
    </row>
    <row r="147" spans="4:13">
      <c r="D147">
        <v>43288.2</v>
      </c>
      <c r="E147">
        <v>4783</v>
      </c>
      <c r="F147">
        <v>87.3</v>
      </c>
      <c r="G147">
        <v>0</v>
      </c>
      <c r="H147">
        <v>0</v>
      </c>
      <c r="I147">
        <v>0</v>
      </c>
      <c r="K147">
        <v>605751.32999999996</v>
      </c>
      <c r="L147">
        <f>131500+1.186*D147+33.87*E147+2818.21*F147+10550*G147+21940*H147+17490*I147</f>
        <v>590869.74820000003</v>
      </c>
      <c r="M147">
        <f>K147-L147</f>
        <v>14881.581799999927</v>
      </c>
    </row>
    <row r="148" spans="4:13">
      <c r="D148">
        <v>60571.82</v>
      </c>
      <c r="E148">
        <v>3193</v>
      </c>
      <c r="F148">
        <v>99</v>
      </c>
      <c r="G148">
        <v>0</v>
      </c>
      <c r="H148">
        <v>0</v>
      </c>
      <c r="I148">
        <v>0</v>
      </c>
      <c r="K148">
        <v>605023.87</v>
      </c>
      <c r="L148">
        <f>131500+1.186*D148+33.87*E148+2818.21*F148+10550*G148+21940*H148+17490*I148</f>
        <v>590487.87852000003</v>
      </c>
      <c r="M148">
        <f>K148-L148</f>
        <v>14535.991479999968</v>
      </c>
    </row>
    <row r="149" spans="4:13">
      <c r="D149">
        <v>61132.07</v>
      </c>
      <c r="E149">
        <v>6394</v>
      </c>
      <c r="F149">
        <v>91</v>
      </c>
      <c r="G149">
        <v>0</v>
      </c>
      <c r="H149">
        <v>0</v>
      </c>
      <c r="I149">
        <v>0</v>
      </c>
      <c r="K149">
        <v>691113.62</v>
      </c>
      <c r="L149">
        <f>131500+1.186*D149+33.87*E149+2818.21*F149+10550*G149+21940*H149+17490*I149</f>
        <v>677024.52501999994</v>
      </c>
      <c r="M149">
        <f>K149-L149</f>
        <v>14089.094980000053</v>
      </c>
    </row>
    <row r="150" spans="4:13">
      <c r="D150">
        <v>47944.14</v>
      </c>
      <c r="E150">
        <v>6169</v>
      </c>
      <c r="F150">
        <v>92.2</v>
      </c>
      <c r="G150">
        <v>0</v>
      </c>
      <c r="H150">
        <v>0</v>
      </c>
      <c r="I150">
        <v>0</v>
      </c>
      <c r="K150">
        <v>670629.48</v>
      </c>
      <c r="L150">
        <f>131500+1.186*D150+33.87*E150+2818.21*F150+10550*G150+21940*H150+17490*I150</f>
        <v>657144.74203999992</v>
      </c>
      <c r="M150">
        <f>K150-L150</f>
        <v>13484.737960000057</v>
      </c>
    </row>
    <row r="151" spans="4:13">
      <c r="D151">
        <v>18599.21</v>
      </c>
      <c r="E151">
        <v>3027</v>
      </c>
      <c r="F151">
        <v>80.900000000000006</v>
      </c>
      <c r="G151">
        <v>0</v>
      </c>
      <c r="H151">
        <v>0</v>
      </c>
      <c r="I151">
        <v>0</v>
      </c>
      <c r="K151">
        <v>497439.82</v>
      </c>
      <c r="L151">
        <f>131500+1.186*D151+33.87*E151+2818.21*F151+10550*G151+21940*H151+17490*I151</f>
        <v>484076.34206</v>
      </c>
      <c r="M151">
        <f>K151-L151</f>
        <v>13363.477940000012</v>
      </c>
    </row>
    <row r="152" spans="4:13">
      <c r="D152">
        <v>68491.11</v>
      </c>
      <c r="E152">
        <v>11154</v>
      </c>
      <c r="F152">
        <v>89.4</v>
      </c>
      <c r="G152">
        <v>0</v>
      </c>
      <c r="H152">
        <v>0</v>
      </c>
      <c r="I152">
        <v>0</v>
      </c>
      <c r="K152">
        <v>855341.28</v>
      </c>
      <c r="L152">
        <f>131500+1.186*D152+33.87*E152+2818.21*F152+10550*G152+21940*H152+17490*I152</f>
        <v>842464.41046000004</v>
      </c>
      <c r="M152">
        <f>K152-L152</f>
        <v>12876.869539999985</v>
      </c>
    </row>
    <row r="153" spans="4:13">
      <c r="D153">
        <v>48060.78</v>
      </c>
      <c r="E153">
        <v>8733</v>
      </c>
      <c r="F153">
        <v>89.9</v>
      </c>
      <c r="G153">
        <v>0</v>
      </c>
      <c r="H153">
        <v>0</v>
      </c>
      <c r="I153">
        <v>0</v>
      </c>
      <c r="K153">
        <v>750471.34</v>
      </c>
      <c r="L153">
        <f>131500+1.186*D153+33.87*E153+2818.21*F153+10550*G153+21940*H153+17490*I153</f>
        <v>737643.87407999998</v>
      </c>
      <c r="M153">
        <f>K153-L153</f>
        <v>12827.465919999988</v>
      </c>
    </row>
    <row r="154" spans="4:13">
      <c r="D154">
        <v>37828.5</v>
      </c>
      <c r="E154">
        <v>8221</v>
      </c>
      <c r="F154">
        <v>81.5</v>
      </c>
      <c r="G154">
        <v>0</v>
      </c>
      <c r="H154">
        <v>0</v>
      </c>
      <c r="I154">
        <v>0</v>
      </c>
      <c r="K154">
        <v>697155.3</v>
      </c>
      <c r="L154">
        <f>131500+1.186*D154+33.87*E154+2818.21*F154+10550*G154+21940*H154+17490*I154</f>
        <v>684493.98599999992</v>
      </c>
      <c r="M154">
        <f>K154-L154</f>
        <v>12661.314000000129</v>
      </c>
    </row>
    <row r="155" spans="4:13">
      <c r="D155">
        <v>62060.43</v>
      </c>
      <c r="E155">
        <v>2613</v>
      </c>
      <c r="F155">
        <v>92.1</v>
      </c>
      <c r="G155">
        <v>0</v>
      </c>
      <c r="H155">
        <v>0</v>
      </c>
      <c r="I155">
        <v>0</v>
      </c>
      <c r="K155">
        <v>565810.99</v>
      </c>
      <c r="L155">
        <f>131500+1.186*D155+33.87*E155+2818.21*F155+10550*G155+21940*H155+17490*I155</f>
        <v>553163.12098000001</v>
      </c>
      <c r="M155">
        <f>K155-L155</f>
        <v>12647.869019999984</v>
      </c>
    </row>
    <row r="156" spans="4:13">
      <c r="D156">
        <v>78231.91</v>
      </c>
      <c r="E156">
        <v>3788</v>
      </c>
      <c r="F156">
        <v>88.5</v>
      </c>
      <c r="G156">
        <v>0</v>
      </c>
      <c r="H156">
        <v>0</v>
      </c>
      <c r="I156">
        <v>0</v>
      </c>
      <c r="K156">
        <v>614596.31999999995</v>
      </c>
      <c r="L156">
        <f>131500+1.186*D156+33.87*E156+2818.21*F156+10550*G156+21940*H156+17490*I156</f>
        <v>601994.19025999994</v>
      </c>
      <c r="M156">
        <f>K156-L156</f>
        <v>12602.129740000004</v>
      </c>
    </row>
    <row r="157" spans="4:13">
      <c r="D157">
        <v>55371.97</v>
      </c>
      <c r="E157">
        <v>4162</v>
      </c>
      <c r="F157">
        <v>92</v>
      </c>
      <c r="G157">
        <v>0</v>
      </c>
      <c r="H157">
        <v>0</v>
      </c>
      <c r="I157">
        <v>0</v>
      </c>
      <c r="K157">
        <v>609949</v>
      </c>
      <c r="L157">
        <f>131500+1.186*D157+33.87*E157+2818.21*F157+10550*G157+21940*H157+17490*I157</f>
        <v>597413.41642000002</v>
      </c>
      <c r="M157">
        <f>K157-L157</f>
        <v>12535.583579999977</v>
      </c>
    </row>
    <row r="158" spans="4:13">
      <c r="D158">
        <v>55270.52</v>
      </c>
      <c r="E158">
        <v>9315</v>
      </c>
      <c r="F158">
        <v>91.9</v>
      </c>
      <c r="G158">
        <v>0</v>
      </c>
      <c r="H158">
        <v>0</v>
      </c>
      <c r="I158">
        <v>0</v>
      </c>
      <c r="K158">
        <v>783672.82</v>
      </c>
      <c r="L158">
        <f>131500+1.186*D158+33.87*E158+2818.21*F158+10550*G158+21940*H158+17490*I158</f>
        <v>771543.3857199999</v>
      </c>
      <c r="M158">
        <f>K158-L158</f>
        <v>12129.434280000045</v>
      </c>
    </row>
    <row r="159" spans="4:13">
      <c r="D159">
        <v>66870.62</v>
      </c>
      <c r="E159">
        <v>6055</v>
      </c>
      <c r="F159">
        <v>93.8</v>
      </c>
      <c r="G159">
        <v>0</v>
      </c>
      <c r="H159">
        <v>0</v>
      </c>
      <c r="I159">
        <v>0</v>
      </c>
      <c r="K159">
        <v>692008.64</v>
      </c>
      <c r="L159">
        <f>131500+1.186*D159+33.87*E159+2818.21*F159+10550*G159+21940*H159+17490*I159</f>
        <v>680239.5033199999</v>
      </c>
      <c r="M159">
        <f>K159-L159</f>
        <v>11769.136680000112</v>
      </c>
    </row>
    <row r="160" spans="4:13">
      <c r="D160">
        <v>63986.98</v>
      </c>
      <c r="E160">
        <v>7989</v>
      </c>
      <c r="F160">
        <v>83.3</v>
      </c>
      <c r="G160">
        <v>0</v>
      </c>
      <c r="H160">
        <v>0</v>
      </c>
      <c r="I160">
        <v>0</v>
      </c>
      <c r="K160">
        <v>724346.73</v>
      </c>
      <c r="L160">
        <f>131500+1.186*D160+33.87*E160+2818.21*F160+10550*G160+21940*H160+17490*I160</f>
        <v>712732.88127999997</v>
      </c>
      <c r="M160">
        <f>K160-L160</f>
        <v>11613.848720000009</v>
      </c>
    </row>
    <row r="161" spans="4:13">
      <c r="D161">
        <v>24088.06</v>
      </c>
      <c r="E161">
        <v>3466</v>
      </c>
      <c r="F161">
        <v>88</v>
      </c>
      <c r="G161">
        <v>0</v>
      </c>
      <c r="H161">
        <v>0</v>
      </c>
      <c r="I161">
        <v>0</v>
      </c>
      <c r="K161">
        <v>536845.42000000004</v>
      </c>
      <c r="L161">
        <f>131500+1.186*D161+33.87*E161+2818.21*F161+10550*G161+21940*H161+17490*I161</f>
        <v>525464.33915999997</v>
      </c>
      <c r="M161">
        <f>K161-L161</f>
        <v>11381.080840000068</v>
      </c>
    </row>
    <row r="162" spans="4:13">
      <c r="D162">
        <v>31042.03</v>
      </c>
      <c r="E162">
        <v>7107</v>
      </c>
      <c r="F162">
        <v>87</v>
      </c>
      <c r="G162">
        <v>0</v>
      </c>
      <c r="H162">
        <v>0</v>
      </c>
      <c r="I162">
        <v>0</v>
      </c>
      <c r="K162">
        <v>665594.93999999994</v>
      </c>
      <c r="L162">
        <f>131500+1.186*D162+33.87*E162+2818.21*F162+10550*G162+21940*H162+17490*I162</f>
        <v>654214.20757999993</v>
      </c>
      <c r="M162">
        <f>K162-L162</f>
        <v>11380.732420000015</v>
      </c>
    </row>
    <row r="163" spans="4:13">
      <c r="D163">
        <v>52843.75</v>
      </c>
      <c r="E163">
        <v>8268</v>
      </c>
      <c r="F163">
        <v>87.3</v>
      </c>
      <c r="G163">
        <v>0</v>
      </c>
      <c r="H163">
        <v>0</v>
      </c>
      <c r="I163">
        <v>0</v>
      </c>
      <c r="K163">
        <v>730890.01</v>
      </c>
      <c r="L163">
        <f>131500+1.186*D163+33.87*E163+2818.21*F163+10550*G163+21940*H163+17490*I163</f>
        <v>720239.58049999992</v>
      </c>
      <c r="M163">
        <f>K163-L163</f>
        <v>10650.429500000086</v>
      </c>
    </row>
    <row r="164" spans="4:13">
      <c r="D164">
        <v>18996.32</v>
      </c>
      <c r="E164">
        <v>1260</v>
      </c>
      <c r="F164">
        <v>86.4</v>
      </c>
      <c r="G164">
        <v>0</v>
      </c>
      <c r="H164">
        <v>0</v>
      </c>
      <c r="I164">
        <v>0</v>
      </c>
      <c r="K164">
        <v>450711.92</v>
      </c>
      <c r="L164">
        <f>131500+1.186*D164+33.87*E164+2818.21*F164+10550*G164+21940*H164+17490*I164</f>
        <v>440199.17952000001</v>
      </c>
      <c r="M164">
        <f>K164-L164</f>
        <v>10512.740479999979</v>
      </c>
    </row>
    <row r="165" spans="4:13">
      <c r="D165">
        <v>43685.14</v>
      </c>
      <c r="E165">
        <v>7821</v>
      </c>
      <c r="F165">
        <v>91</v>
      </c>
      <c r="G165">
        <v>0</v>
      </c>
      <c r="H165">
        <v>0</v>
      </c>
      <c r="I165">
        <v>0</v>
      </c>
      <c r="K165">
        <v>714942.43</v>
      </c>
      <c r="L165">
        <f>131500+1.186*D165+33.87*E165+2818.21*F165+10550*G165+21940*H165+17490*I165</f>
        <v>704664.95603999996</v>
      </c>
      <c r="M165">
        <f>K165-L165</f>
        <v>10277.47396000009</v>
      </c>
    </row>
    <row r="166" spans="4:13">
      <c r="D166">
        <v>65237.79</v>
      </c>
      <c r="E166">
        <v>8741</v>
      </c>
      <c r="F166">
        <v>94.4</v>
      </c>
      <c r="G166">
        <v>0</v>
      </c>
      <c r="H166">
        <v>0</v>
      </c>
      <c r="I166">
        <v>0</v>
      </c>
      <c r="K166">
        <v>780344.18</v>
      </c>
      <c r="L166">
        <f>131500+1.186*D166+33.87*E166+2818.21*F166+10550*G166+21940*H166+17490*I166</f>
        <v>770968.71294</v>
      </c>
      <c r="M166">
        <f>K166-L166</f>
        <v>9375.4670600000536</v>
      </c>
    </row>
    <row r="167" spans="4:13">
      <c r="D167">
        <v>74679.350000000006</v>
      </c>
      <c r="E167">
        <v>8739</v>
      </c>
      <c r="F167">
        <v>91.8</v>
      </c>
      <c r="G167">
        <v>0</v>
      </c>
      <c r="H167">
        <v>0</v>
      </c>
      <c r="I167">
        <v>0</v>
      </c>
      <c r="K167">
        <v>783797.89</v>
      </c>
      <c r="L167">
        <f>131500+1.186*D167+33.87*E167+2818.21*F167+10550*G167+21940*H167+17490*I167</f>
        <v>774771.31709999999</v>
      </c>
      <c r="M167">
        <f>K167-L167</f>
        <v>9026.5729000000283</v>
      </c>
    </row>
    <row r="168" spans="4:13">
      <c r="D168">
        <v>55599.56</v>
      </c>
      <c r="E168">
        <v>5896</v>
      </c>
      <c r="F168">
        <v>93.1</v>
      </c>
      <c r="G168">
        <v>0</v>
      </c>
      <c r="H168">
        <v>0</v>
      </c>
      <c r="I168">
        <v>0</v>
      </c>
      <c r="K168">
        <v>668459.37</v>
      </c>
      <c r="L168">
        <f>131500+1.186*D168+33.87*E168+2818.21*F168+10550*G168+21940*H168+17490*I168</f>
        <v>659513.94915999984</v>
      </c>
      <c r="M168">
        <f>K168-L168</f>
        <v>8945.4208400001517</v>
      </c>
    </row>
    <row r="169" spans="4:13">
      <c r="D169">
        <v>30301.86</v>
      </c>
      <c r="E169">
        <v>6939</v>
      </c>
      <c r="F169">
        <v>90.3</v>
      </c>
      <c r="G169">
        <v>0</v>
      </c>
      <c r="H169">
        <v>0</v>
      </c>
      <c r="I169">
        <v>0</v>
      </c>
      <c r="K169">
        <v>665534.69999999995</v>
      </c>
      <c r="L169">
        <f>131500+1.186*D169+33.87*E169+2818.21*F169+10550*G169+21940*H169+17490*I169</f>
        <v>656946.29896000004</v>
      </c>
      <c r="M169">
        <f>K169-L169</f>
        <v>8588.4010399999097</v>
      </c>
    </row>
    <row r="170" spans="4:13">
      <c r="D170">
        <v>45209.25</v>
      </c>
      <c r="E170">
        <v>9287</v>
      </c>
      <c r="F170">
        <v>86.4</v>
      </c>
      <c r="G170">
        <v>0</v>
      </c>
      <c r="H170">
        <v>0</v>
      </c>
      <c r="I170">
        <v>0</v>
      </c>
      <c r="K170">
        <v>751393.88</v>
      </c>
      <c r="L170">
        <f>131500+1.186*D170+33.87*E170+2818.21*F170+10550*G170+21940*H170+17490*I170</f>
        <v>743162.20449999999</v>
      </c>
      <c r="M170">
        <f>K170-L170</f>
        <v>8231.6755000000121</v>
      </c>
    </row>
    <row r="171" spans="4:13">
      <c r="D171">
        <v>40220.18</v>
      </c>
      <c r="E171">
        <v>3783</v>
      </c>
      <c r="F171">
        <v>86.6</v>
      </c>
      <c r="G171">
        <v>0</v>
      </c>
      <c r="H171">
        <v>0</v>
      </c>
      <c r="I171">
        <v>0</v>
      </c>
      <c r="K171">
        <v>559422.02</v>
      </c>
      <c r="L171">
        <f>131500+1.186*D171+33.87*E171+2818.21*F171+10550*G171+21940*H171+17490*I171</f>
        <v>551388.32947999996</v>
      </c>
      <c r="M171">
        <f>K171-L171</f>
        <v>8033.690520000062</v>
      </c>
    </row>
    <row r="172" spans="4:13">
      <c r="D172">
        <v>48609.41</v>
      </c>
      <c r="E172">
        <v>9324</v>
      </c>
      <c r="F172">
        <v>86.5</v>
      </c>
      <c r="G172">
        <v>0</v>
      </c>
      <c r="H172">
        <v>0</v>
      </c>
      <c r="I172">
        <v>0</v>
      </c>
      <c r="K172">
        <v>756619.77</v>
      </c>
      <c r="L172">
        <f>131500+1.186*D172+33.87*E172+2818.21*F172+10550*G172+21940*H172+17490*I172</f>
        <v>748729.80526000005</v>
      </c>
      <c r="M172">
        <f>K172-L172</f>
        <v>7889.9647399999667</v>
      </c>
    </row>
    <row r="173" spans="4:13">
      <c r="D173">
        <v>86883.31</v>
      </c>
      <c r="E173">
        <v>6424</v>
      </c>
      <c r="F173">
        <v>85.2</v>
      </c>
      <c r="G173">
        <v>0</v>
      </c>
      <c r="H173">
        <v>0</v>
      </c>
      <c r="I173">
        <v>0</v>
      </c>
      <c r="K173">
        <v>700078.32</v>
      </c>
      <c r="L173">
        <f>131500+1.186*D173+33.87*E173+2818.21*F173+10550*G173+21940*H173+17490*I173</f>
        <v>692235.97765999998</v>
      </c>
      <c r="M173">
        <f>K173-L173</f>
        <v>7842.3423399999738</v>
      </c>
    </row>
    <row r="174" spans="4:13">
      <c r="D174">
        <v>52285.45</v>
      </c>
      <c r="E174">
        <v>3618</v>
      </c>
      <c r="F174">
        <v>95.6</v>
      </c>
      <c r="G174">
        <v>0</v>
      </c>
      <c r="H174">
        <v>0</v>
      </c>
      <c r="I174">
        <v>0</v>
      </c>
      <c r="K174">
        <v>593247.25</v>
      </c>
      <c r="L174">
        <f>131500+1.186*D174+33.87*E174+2818.21*F174+10550*G174+21940*H174+17490*I174</f>
        <v>585473.07969999989</v>
      </c>
      <c r="M174">
        <f>K174-L174</f>
        <v>7774.1703000001144</v>
      </c>
    </row>
    <row r="175" spans="4:13">
      <c r="D175">
        <v>38361.93</v>
      </c>
      <c r="E175">
        <v>6322</v>
      </c>
      <c r="F175">
        <v>88.4</v>
      </c>
      <c r="G175">
        <v>0</v>
      </c>
      <c r="H175">
        <v>0</v>
      </c>
      <c r="I175">
        <v>0</v>
      </c>
      <c r="K175">
        <v>647953.78</v>
      </c>
      <c r="L175">
        <f>131500+1.186*D175+33.87*E175+2818.21*F175+10550*G175+21940*H175+17490*I175</f>
        <v>640253.15298000001</v>
      </c>
      <c r="M175">
        <f>K175-L175</f>
        <v>7700.6270200000145</v>
      </c>
    </row>
    <row r="176" spans="4:13">
      <c r="D176">
        <v>46201.46</v>
      </c>
      <c r="E176">
        <v>5918</v>
      </c>
      <c r="F176">
        <v>78.8</v>
      </c>
      <c r="G176">
        <v>0</v>
      </c>
      <c r="H176">
        <v>0</v>
      </c>
      <c r="I176">
        <v>0</v>
      </c>
      <c r="K176">
        <v>616069.41</v>
      </c>
      <c r="L176">
        <f>131500+1.186*D176+33.87*E176+2818.21*F176+10550*G176+21940*H176+17490*I176</f>
        <v>608812.53955999995</v>
      </c>
      <c r="M176">
        <f>K176-L176</f>
        <v>7256.8704400000861</v>
      </c>
    </row>
    <row r="177" spans="4:13">
      <c r="D177">
        <v>68133.440000000002</v>
      </c>
      <c r="E177">
        <v>9459</v>
      </c>
      <c r="F177">
        <v>85</v>
      </c>
      <c r="G177">
        <v>0</v>
      </c>
      <c r="H177">
        <v>0</v>
      </c>
      <c r="I177">
        <v>0</v>
      </c>
      <c r="K177">
        <v>779010.94</v>
      </c>
      <c r="L177">
        <f>131500+1.186*D177+33.87*E177+2818.21*F177+10550*G177+21940*H177+17490*I177</f>
        <v>772230.43984000001</v>
      </c>
      <c r="M177">
        <f>K177-L177</f>
        <v>6780.5001599999378</v>
      </c>
    </row>
    <row r="178" spans="4:13">
      <c r="D178">
        <v>74539.14</v>
      </c>
      <c r="E178">
        <v>4487</v>
      </c>
      <c r="F178">
        <v>90.4</v>
      </c>
      <c r="G178">
        <v>0</v>
      </c>
      <c r="H178">
        <v>0</v>
      </c>
      <c r="I178">
        <v>0</v>
      </c>
      <c r="K178">
        <v>633009.53</v>
      </c>
      <c r="L178">
        <f>131500+1.186*D178+33.87*E178+2818.21*F178+10550*G178+21940*H178+17490*I178</f>
        <v>626644.29404000007</v>
      </c>
      <c r="M178">
        <f>K178-L178</f>
        <v>6365.2359599999618</v>
      </c>
    </row>
    <row r="179" spans="4:13">
      <c r="D179">
        <v>63010.23</v>
      </c>
      <c r="E179">
        <v>9812</v>
      </c>
      <c r="F179">
        <v>76.8</v>
      </c>
      <c r="G179">
        <v>0</v>
      </c>
      <c r="H179">
        <v>0</v>
      </c>
      <c r="I179">
        <v>0</v>
      </c>
      <c r="K179">
        <v>761077.08</v>
      </c>
      <c r="L179">
        <f>131500+1.186*D179+33.87*E179+2818.21*F179+10550*G179+21940*H179+17490*I179</f>
        <v>755001.10077999998</v>
      </c>
      <c r="M179">
        <f>K179-L179</f>
        <v>6075.9792199999793</v>
      </c>
    </row>
    <row r="180" spans="4:13">
      <c r="D180">
        <v>42698.14</v>
      </c>
      <c r="E180">
        <v>7693</v>
      </c>
      <c r="F180">
        <v>90.1</v>
      </c>
      <c r="G180">
        <v>0</v>
      </c>
      <c r="H180">
        <v>0</v>
      </c>
      <c r="I180">
        <v>0</v>
      </c>
      <c r="K180">
        <v>702318.94</v>
      </c>
      <c r="L180">
        <f>131500+1.186*D180+33.87*E180+2818.21*F180+10550*G180+21940*H180+17490*I180</f>
        <v>696622.62503999996</v>
      </c>
      <c r="M180">
        <f>K180-L180</f>
        <v>5696.3149599999888</v>
      </c>
    </row>
    <row r="181" spans="4:13">
      <c r="D181">
        <v>44747</v>
      </c>
      <c r="E181">
        <v>11076</v>
      </c>
      <c r="F181">
        <v>98.3</v>
      </c>
      <c r="G181">
        <v>0</v>
      </c>
      <c r="H181">
        <v>0</v>
      </c>
      <c r="I181">
        <v>0</v>
      </c>
      <c r="K181">
        <v>842439.67</v>
      </c>
      <c r="L181">
        <f>131500+1.186*D181+33.87*E181+2818.21*F181+10550*G181+21940*H181+17490*I181</f>
        <v>836744.10499999998</v>
      </c>
      <c r="M181">
        <f>K181-L181</f>
        <v>5695.5650000000605</v>
      </c>
    </row>
    <row r="182" spans="4:13">
      <c r="D182">
        <v>93381.26</v>
      </c>
      <c r="E182">
        <v>7562</v>
      </c>
      <c r="F182">
        <v>82.9</v>
      </c>
      <c r="G182">
        <v>0</v>
      </c>
      <c r="H182">
        <v>0</v>
      </c>
      <c r="I182">
        <v>0</v>
      </c>
      <c r="K182">
        <v>736633.4</v>
      </c>
      <c r="L182">
        <f>131500+1.186*D182+33.87*E182+2818.21*F182+10550*G182+21940*H182+17490*I182</f>
        <v>732004.72336000006</v>
      </c>
      <c r="M182">
        <f>K182-L182</f>
        <v>4628.6766399999615</v>
      </c>
    </row>
    <row r="183" spans="4:13">
      <c r="D183">
        <v>54968.98</v>
      </c>
      <c r="E183">
        <v>7816</v>
      </c>
      <c r="F183">
        <v>95.7</v>
      </c>
      <c r="G183">
        <v>0</v>
      </c>
      <c r="H183">
        <v>0</v>
      </c>
      <c r="I183">
        <v>0</v>
      </c>
      <c r="K183">
        <v>735480.19</v>
      </c>
      <c r="L183">
        <f>131500+1.186*D183+33.87*E183+2818.21*F183+10550*G183+21940*H183+17490*I183</f>
        <v>731123.82727999997</v>
      </c>
      <c r="M183">
        <f>K183-L183</f>
        <v>4356.3627199999755</v>
      </c>
    </row>
    <row r="184" spans="4:13">
      <c r="D184">
        <v>35296.54</v>
      </c>
      <c r="E184">
        <v>9644</v>
      </c>
      <c r="F184">
        <v>88</v>
      </c>
      <c r="G184">
        <v>0</v>
      </c>
      <c r="H184">
        <v>0</v>
      </c>
      <c r="I184">
        <v>0</v>
      </c>
      <c r="K184">
        <v>752321.72</v>
      </c>
      <c r="L184">
        <f>131500+1.186*D184+33.87*E184+2818.21*F184+10550*G184+21940*H184+17490*I184</f>
        <v>748006.45643999998</v>
      </c>
      <c r="M184">
        <f>K184-L184</f>
        <v>4315.2635599999921</v>
      </c>
    </row>
    <row r="185" spans="4:13">
      <c r="D185">
        <v>27194.639999999999</v>
      </c>
      <c r="E185">
        <v>7404</v>
      </c>
      <c r="F185">
        <v>90.2</v>
      </c>
      <c r="G185">
        <v>0</v>
      </c>
      <c r="H185">
        <v>0</v>
      </c>
      <c r="I185">
        <v>0</v>
      </c>
      <c r="K185">
        <v>672670.54</v>
      </c>
      <c r="L185">
        <f>131500+1.186*D185+33.87*E185+2818.21*F185+10550*G185+21940*H185+17490*I185</f>
        <v>668728.86504000006</v>
      </c>
      <c r="M185">
        <f>K185-L185</f>
        <v>3941.6749599999748</v>
      </c>
    </row>
    <row r="186" spans="4:13">
      <c r="D186">
        <v>59060.05</v>
      </c>
      <c r="E186">
        <v>9702</v>
      </c>
      <c r="F186">
        <v>80.900000000000006</v>
      </c>
      <c r="G186">
        <v>0</v>
      </c>
      <c r="H186">
        <v>0</v>
      </c>
      <c r="I186">
        <v>0</v>
      </c>
      <c r="K186">
        <v>761919.25</v>
      </c>
      <c r="L186">
        <f>131500+1.186*D186+33.87*E186+2818.21*F186+10550*G186+21940*H186+17490*I186</f>
        <v>758145.1483</v>
      </c>
      <c r="M186">
        <f>K186-L186</f>
        <v>3774.1016999999993</v>
      </c>
    </row>
    <row r="187" spans="4:13">
      <c r="D187">
        <v>63176.73</v>
      </c>
      <c r="E187">
        <v>2390</v>
      </c>
      <c r="F187">
        <v>87.5</v>
      </c>
      <c r="G187">
        <v>0</v>
      </c>
      <c r="H187">
        <v>0</v>
      </c>
      <c r="I187">
        <v>0</v>
      </c>
      <c r="K187">
        <v>537383.79</v>
      </c>
      <c r="L187">
        <f>131500+1.186*D187+33.87*E187+2818.21*F187+10550*G187+21940*H187+17490*I187</f>
        <v>533970.27677999996</v>
      </c>
      <c r="M187">
        <f>K187-L187</f>
        <v>3413.5132200000808</v>
      </c>
    </row>
    <row r="188" spans="4:13">
      <c r="D188">
        <v>72961.95</v>
      </c>
      <c r="E188">
        <v>9996</v>
      </c>
      <c r="F188">
        <v>89.1</v>
      </c>
      <c r="G188">
        <v>0</v>
      </c>
      <c r="H188">
        <v>0</v>
      </c>
      <c r="I188">
        <v>0</v>
      </c>
      <c r="K188">
        <v>810355.02</v>
      </c>
      <c r="L188">
        <f>131500+1.186*D188+33.87*E188+2818.21*F188+10550*G188+21940*H188+17490*I188</f>
        <v>807699.90369999991</v>
      </c>
      <c r="M188">
        <f>K188-L188</f>
        <v>2655.1163000001106</v>
      </c>
    </row>
    <row r="189" spans="4:13">
      <c r="D189">
        <v>61995.3</v>
      </c>
      <c r="E189">
        <v>10192</v>
      </c>
      <c r="F189">
        <v>87.6</v>
      </c>
      <c r="G189">
        <v>0</v>
      </c>
      <c r="H189">
        <v>0</v>
      </c>
      <c r="I189">
        <v>0</v>
      </c>
      <c r="K189">
        <v>799756.46</v>
      </c>
      <c r="L189">
        <f>131500+1.186*D189+33.87*E189+2818.21*F189+10550*G189+21940*H189+17490*I189</f>
        <v>797104.6618</v>
      </c>
      <c r="M189">
        <f>K189-L189</f>
        <v>2651.7981999999611</v>
      </c>
    </row>
    <row r="190" spans="4:13">
      <c r="D190">
        <v>60322.400000000001</v>
      </c>
      <c r="E190">
        <v>3350</v>
      </c>
      <c r="F190">
        <v>89.4</v>
      </c>
      <c r="G190">
        <v>0</v>
      </c>
      <c r="H190">
        <v>0</v>
      </c>
      <c r="I190">
        <v>0</v>
      </c>
      <c r="K190">
        <v>570964.84</v>
      </c>
      <c r="L190">
        <f>131500+1.186*D190+33.87*E190+2818.21*F190+10550*G190+21940*H190+17490*I190</f>
        <v>568454.84039999999</v>
      </c>
      <c r="M190">
        <f>K190-L190</f>
        <v>2509.999599999981</v>
      </c>
    </row>
    <row r="191" spans="4:13">
      <c r="D191">
        <v>60183.06</v>
      </c>
      <c r="E191">
        <v>5562</v>
      </c>
      <c r="F191">
        <v>86.3</v>
      </c>
      <c r="G191">
        <v>0</v>
      </c>
      <c r="H191">
        <v>0</v>
      </c>
      <c r="I191">
        <v>0</v>
      </c>
      <c r="K191">
        <v>636775.66</v>
      </c>
      <c r="L191">
        <f>131500+1.186*D191+33.87*E191+2818.21*F191+10550*G191+21940*H191+17490*I191</f>
        <v>634473.57215999998</v>
      </c>
      <c r="M191">
        <f>K191-L191</f>
        <v>2302.0878400000511</v>
      </c>
    </row>
    <row r="192" spans="4:13">
      <c r="D192">
        <v>22312.93</v>
      </c>
      <c r="E192">
        <v>5955</v>
      </c>
      <c r="F192">
        <v>84.2</v>
      </c>
      <c r="G192">
        <v>0</v>
      </c>
      <c r="H192">
        <v>0</v>
      </c>
      <c r="I192">
        <v>0</v>
      </c>
      <c r="K192">
        <v>598904.9</v>
      </c>
      <c r="L192">
        <f>131500+1.186*D192+33.87*E192+2818.21*F192+10550*G192+21940*H192+17490*I192</f>
        <v>596952.26697999996</v>
      </c>
      <c r="M192">
        <f>K192-L192</f>
        <v>1952.6330200000666</v>
      </c>
    </row>
    <row r="193" spans="4:13">
      <c r="D193">
        <v>57948.88</v>
      </c>
      <c r="E193">
        <v>10741</v>
      </c>
      <c r="F193">
        <v>90.1</v>
      </c>
      <c r="G193">
        <v>0</v>
      </c>
      <c r="H193">
        <v>0</v>
      </c>
      <c r="I193">
        <v>0</v>
      </c>
      <c r="K193">
        <v>819660.59</v>
      </c>
      <c r="L193">
        <f>131500+1.186*D193+33.87*E193+2818.21*F193+10550*G193+21940*H193+17490*I193</f>
        <v>817945.76268000004</v>
      </c>
      <c r="M193">
        <f>K193-L193</f>
        <v>1714.8273199999239</v>
      </c>
    </row>
    <row r="194" spans="4:13">
      <c r="D194">
        <v>68410.929999999993</v>
      </c>
      <c r="E194">
        <v>10596</v>
      </c>
      <c r="F194">
        <v>81.2</v>
      </c>
      <c r="G194">
        <v>0</v>
      </c>
      <c r="H194">
        <v>0</v>
      </c>
      <c r="I194">
        <v>0</v>
      </c>
      <c r="K194">
        <v>801830.35</v>
      </c>
      <c r="L194">
        <f>131500+1.186*D194+33.87*E194+2818.21*F194+10550*G194+21940*H194+17490*I194</f>
        <v>800360.53498</v>
      </c>
      <c r="M194">
        <f>K194-L194</f>
        <v>1469.81501999998</v>
      </c>
    </row>
    <row r="195" spans="4:13">
      <c r="D195">
        <v>57143.3</v>
      </c>
      <c r="E195">
        <v>8038</v>
      </c>
      <c r="F195">
        <v>72.599999999999994</v>
      </c>
      <c r="G195">
        <v>0</v>
      </c>
      <c r="H195">
        <v>0</v>
      </c>
      <c r="I195">
        <v>0</v>
      </c>
      <c r="K195">
        <v>677096.71</v>
      </c>
      <c r="L195">
        <f>131500+1.186*D195+33.87*E195+2818.21*F195+10550*G195+21940*H195+17490*I195</f>
        <v>676121.05979999993</v>
      </c>
      <c r="M195">
        <f>K195-L195</f>
        <v>975.65020000003278</v>
      </c>
    </row>
    <row r="196" spans="4:13">
      <c r="D196">
        <v>50343.19</v>
      </c>
      <c r="E196">
        <v>3845</v>
      </c>
      <c r="F196">
        <v>88.7</v>
      </c>
      <c r="G196">
        <v>0</v>
      </c>
      <c r="H196">
        <v>0</v>
      </c>
      <c r="I196">
        <v>0</v>
      </c>
      <c r="K196">
        <v>572011.19999999995</v>
      </c>
      <c r="L196">
        <f>131500+1.186*D196+33.87*E196+2818.21*F196+10550*G196+21940*H196+17490*I196</f>
        <v>571412.40033999993</v>
      </c>
      <c r="M196">
        <f>K196-L196</f>
        <v>598.79966000001878</v>
      </c>
    </row>
    <row r="197" spans="4:13">
      <c r="D197">
        <v>54322.94</v>
      </c>
      <c r="E197">
        <v>5434</v>
      </c>
      <c r="F197">
        <v>85.7</v>
      </c>
      <c r="G197">
        <v>0</v>
      </c>
      <c r="H197">
        <v>0</v>
      </c>
      <c r="I197">
        <v>0</v>
      </c>
      <c r="K197">
        <v>621677.30000000005</v>
      </c>
      <c r="L197">
        <f>131500+1.186*D197+33.87*E197+2818.21*F197+10550*G197+21940*H197+17490*I197</f>
        <v>621497.18384000007</v>
      </c>
      <c r="M197">
        <f>K197-L197</f>
        <v>180.11615999997593</v>
      </c>
    </row>
    <row r="198" spans="4:13">
      <c r="D198">
        <v>66962.740000000005</v>
      </c>
      <c r="E198">
        <v>7880</v>
      </c>
      <c r="F198">
        <v>90.4</v>
      </c>
      <c r="G198">
        <v>0</v>
      </c>
      <c r="H198">
        <v>0</v>
      </c>
      <c r="I198">
        <v>0</v>
      </c>
      <c r="K198">
        <v>732667.92</v>
      </c>
      <c r="L198">
        <f>131500+1.186*D198+33.87*E198+2818.21*F198+10550*G198+21940*H198+17490*I198</f>
        <v>732579.59363999998</v>
      </c>
      <c r="M198">
        <f>K198-L198</f>
        <v>88.326360000064597</v>
      </c>
    </row>
    <row r="199" spans="4:13">
      <c r="D199">
        <v>56973.18</v>
      </c>
      <c r="E199">
        <v>6662</v>
      </c>
      <c r="F199">
        <v>77.7</v>
      </c>
      <c r="G199">
        <v>0</v>
      </c>
      <c r="H199">
        <v>0</v>
      </c>
      <c r="I199">
        <v>0</v>
      </c>
      <c r="K199">
        <v>643657.47</v>
      </c>
      <c r="L199">
        <f>131500+1.186*D199+33.87*E199+2818.21*F199+10550*G199+21940*H199+17490*I199</f>
        <v>643687.04848</v>
      </c>
      <c r="M199">
        <f>K199-L199</f>
        <v>-29.578480000025593</v>
      </c>
    </row>
    <row r="200" spans="4:13">
      <c r="D200">
        <v>74413.88</v>
      </c>
      <c r="E200">
        <v>9449</v>
      </c>
      <c r="F200">
        <v>92.1</v>
      </c>
      <c r="G200">
        <v>0</v>
      </c>
      <c r="H200">
        <v>0</v>
      </c>
      <c r="I200">
        <v>0</v>
      </c>
      <c r="K200">
        <v>798952.17</v>
      </c>
      <c r="L200">
        <f>131500+1.186*D200+33.87*E200+2818.21*F200+10550*G200+21940*H200+17490*I200</f>
        <v>799349.63267999992</v>
      </c>
      <c r="M200">
        <f>K200-L200</f>
        <v>-397.46267999988049</v>
      </c>
    </row>
    <row r="201" spans="4:13">
      <c r="D201">
        <v>47648.71</v>
      </c>
      <c r="E201">
        <v>5767</v>
      </c>
      <c r="F201">
        <v>89.8</v>
      </c>
      <c r="G201">
        <v>0</v>
      </c>
      <c r="H201">
        <v>0</v>
      </c>
      <c r="I201">
        <v>0</v>
      </c>
      <c r="K201">
        <v>635837.74</v>
      </c>
      <c r="L201">
        <f>131500+1.186*D201+33.87*E201+2818.21*F201+10550*G201+21940*H201+17490*I201</f>
        <v>636414.91805999994</v>
      </c>
      <c r="M201">
        <f>K201-L201</f>
        <v>-577.17805999994744</v>
      </c>
    </row>
    <row r="202" spans="4:13">
      <c r="D202">
        <v>33518.879999999997</v>
      </c>
      <c r="E202">
        <v>2121</v>
      </c>
      <c r="F202">
        <v>88.5</v>
      </c>
      <c r="G202">
        <v>0</v>
      </c>
      <c r="H202">
        <v>0</v>
      </c>
      <c r="I202">
        <v>0</v>
      </c>
      <c r="K202">
        <v>491905.13</v>
      </c>
      <c r="L202">
        <f>131500+1.186*D202+33.87*E202+2818.21*F202+10550*G202+21940*H202+17490*I202</f>
        <v>492503.24667999998</v>
      </c>
      <c r="M202">
        <f>K202-L202</f>
        <v>-598.11667999997735</v>
      </c>
    </row>
    <row r="203" spans="4:13">
      <c r="D203">
        <v>59405.68</v>
      </c>
      <c r="E203">
        <v>2515</v>
      </c>
      <c r="F203">
        <v>76</v>
      </c>
      <c r="G203">
        <v>0</v>
      </c>
      <c r="H203">
        <v>0</v>
      </c>
      <c r="I203">
        <v>0</v>
      </c>
      <c r="K203">
        <v>500298.48</v>
      </c>
      <c r="L203">
        <f>131500+1.186*D203+33.87*E203+2818.21*F203+10550*G203+21940*H203+17490*I203</f>
        <v>501322.14648</v>
      </c>
      <c r="M203">
        <f>K203-L203</f>
        <v>-1023.6664800000144</v>
      </c>
    </row>
    <row r="204" spans="4:13">
      <c r="D204">
        <v>72932.55</v>
      </c>
      <c r="E204">
        <v>5765</v>
      </c>
      <c r="F204">
        <v>81.8</v>
      </c>
      <c r="G204">
        <v>0</v>
      </c>
      <c r="H204">
        <v>0</v>
      </c>
      <c r="I204">
        <v>0</v>
      </c>
      <c r="K204">
        <v>642751.42000000004</v>
      </c>
      <c r="L204">
        <f>131500+1.186*D204+33.87*E204+2818.21*F204+10550*G204+21940*H204+17490*I204</f>
        <v>643788.13229999994</v>
      </c>
      <c r="M204">
        <f>K204-L204</f>
        <v>-1036.7122999998974</v>
      </c>
    </row>
    <row r="205" spans="4:13">
      <c r="D205">
        <v>38966.589999999997</v>
      </c>
      <c r="E205">
        <v>4509</v>
      </c>
      <c r="F205">
        <v>91.1</v>
      </c>
      <c r="G205">
        <v>0</v>
      </c>
      <c r="H205">
        <v>0</v>
      </c>
      <c r="I205">
        <v>0</v>
      </c>
      <c r="K205">
        <v>585937.48</v>
      </c>
      <c r="L205">
        <f>131500+1.186*D205+33.87*E205+2818.21*F205+10550*G205+21940*H205+17490*I205</f>
        <v>587173.13673999999</v>
      </c>
      <c r="M205">
        <f>K205-L205</f>
        <v>-1235.6567400000058</v>
      </c>
    </row>
    <row r="206" spans="4:13">
      <c r="D206">
        <v>57696.69</v>
      </c>
      <c r="E206">
        <v>10218</v>
      </c>
      <c r="F206">
        <v>94.8</v>
      </c>
      <c r="G206">
        <v>0</v>
      </c>
      <c r="H206">
        <v>0</v>
      </c>
      <c r="I206">
        <v>0</v>
      </c>
      <c r="K206">
        <v>811771.14</v>
      </c>
      <c r="L206">
        <f>131500+1.186*D206+33.87*E206+2818.21*F206+10550*G206+21940*H206+17490*I206</f>
        <v>813178.24233999988</v>
      </c>
      <c r="M206">
        <f>K206-L206</f>
        <v>-1407.1023399998667</v>
      </c>
    </row>
    <row r="207" spans="4:13">
      <c r="D207">
        <v>53351.7</v>
      </c>
      <c r="E207">
        <v>4259</v>
      </c>
      <c r="F207">
        <v>93.7</v>
      </c>
      <c r="G207">
        <v>0</v>
      </c>
      <c r="H207">
        <v>0</v>
      </c>
      <c r="I207">
        <v>0</v>
      </c>
      <c r="K207">
        <v>601568.87</v>
      </c>
      <c r="L207">
        <f>131500+1.186*D207+33.87*E207+2818.21*F207+10550*G207+21940*H207+17490*I207</f>
        <v>603093.72320000001</v>
      </c>
      <c r="M207">
        <f>K207-L207</f>
        <v>-1524.8532000000123</v>
      </c>
    </row>
    <row r="208" spans="4:13">
      <c r="D208">
        <v>60881.01</v>
      </c>
      <c r="E208">
        <v>5410</v>
      </c>
      <c r="F208">
        <v>83.9</v>
      </c>
      <c r="G208">
        <v>0</v>
      </c>
      <c r="H208">
        <v>0</v>
      </c>
      <c r="I208">
        <v>0</v>
      </c>
      <c r="K208">
        <v>621369.57999999996</v>
      </c>
      <c r="L208">
        <f>131500+1.186*D208+33.87*E208+2818.21*F208+10550*G208+21940*H208+17490*I208</f>
        <v>623389.39685999998</v>
      </c>
      <c r="M208">
        <f>K208-L208</f>
        <v>-2019.8168600000208</v>
      </c>
    </row>
    <row r="209" spans="4:13">
      <c r="D209">
        <v>48465.599999999999</v>
      </c>
      <c r="E209">
        <v>5759</v>
      </c>
      <c r="F209">
        <v>87.5</v>
      </c>
      <c r="G209">
        <v>0</v>
      </c>
      <c r="H209">
        <v>0</v>
      </c>
      <c r="I209">
        <v>0</v>
      </c>
      <c r="K209">
        <v>628538.30000000005</v>
      </c>
      <c r="L209">
        <f>131500+1.186*D209+33.87*E209+2818.21*F209+10550*G209+21940*H209+17490*I209</f>
        <v>630630.90659999999</v>
      </c>
      <c r="M209">
        <f>K209-L209</f>
        <v>-2092.606599999941</v>
      </c>
    </row>
    <row r="210" spans="4:13">
      <c r="D210">
        <v>92090.14</v>
      </c>
      <c r="E210">
        <v>9476</v>
      </c>
      <c r="F210">
        <v>94.3</v>
      </c>
      <c r="G210">
        <v>0</v>
      </c>
      <c r="H210">
        <v>0</v>
      </c>
      <c r="I210">
        <v>0</v>
      </c>
      <c r="K210">
        <v>825060.52</v>
      </c>
      <c r="L210">
        <f>131500+1.186*D210+33.87*E210+2818.21*F210+10550*G210+21940*H210+17490*I210</f>
        <v>827428.22903999989</v>
      </c>
      <c r="M210">
        <f>K210-L210</f>
        <v>-2367.7090399998706</v>
      </c>
    </row>
    <row r="211" spans="4:13">
      <c r="D211">
        <v>41441.93</v>
      </c>
      <c r="E211">
        <v>4865</v>
      </c>
      <c r="F211">
        <v>88.3</v>
      </c>
      <c r="G211">
        <v>0</v>
      </c>
      <c r="H211">
        <v>0</v>
      </c>
      <c r="I211">
        <v>0</v>
      </c>
      <c r="K211">
        <v>591619.94999999995</v>
      </c>
      <c r="L211">
        <f>131500+1.186*D211+33.87*E211+2818.21*F211+10550*G211+21940*H211+17490*I211</f>
        <v>594275.62197999994</v>
      </c>
      <c r="M211">
        <f>K211-L211</f>
        <v>-2655.6719799999846</v>
      </c>
    </row>
    <row r="212" spans="4:13">
      <c r="D212">
        <v>40928.69</v>
      </c>
      <c r="E212">
        <v>4094</v>
      </c>
      <c r="F212">
        <v>82.4</v>
      </c>
      <c r="G212">
        <v>0</v>
      </c>
      <c r="H212">
        <v>0</v>
      </c>
      <c r="I212">
        <v>0</v>
      </c>
      <c r="K212">
        <v>548103.69999999995</v>
      </c>
      <c r="L212">
        <f>131500+1.186*D212+33.87*E212+2818.21*F212+10550*G212+21940*H212+17490*I212</f>
        <v>550925.71033999999</v>
      </c>
      <c r="M212">
        <f>K212-L212</f>
        <v>-2822.0103400000371</v>
      </c>
    </row>
    <row r="213" spans="4:13">
      <c r="D213">
        <v>49405.75</v>
      </c>
      <c r="E213">
        <v>9752</v>
      </c>
      <c r="F213">
        <v>87</v>
      </c>
      <c r="G213">
        <v>0</v>
      </c>
      <c r="H213">
        <v>0</v>
      </c>
      <c r="I213">
        <v>0</v>
      </c>
      <c r="K213">
        <v>761963.23</v>
      </c>
      <c r="L213">
        <f>131500+1.186*D213+33.87*E213+2818.21*F213+10550*G213+21940*H213+17490*I213</f>
        <v>765579.72950000002</v>
      </c>
      <c r="M213">
        <f>K213-L213</f>
        <v>-3616.4995000000345</v>
      </c>
    </row>
    <row r="214" spans="4:13">
      <c r="D214">
        <v>40647.67</v>
      </c>
      <c r="E214">
        <v>8252</v>
      </c>
      <c r="F214">
        <v>88.2</v>
      </c>
      <c r="G214">
        <v>0</v>
      </c>
      <c r="H214">
        <v>0</v>
      </c>
      <c r="I214">
        <v>0</v>
      </c>
      <c r="K214">
        <v>703812.99</v>
      </c>
      <c r="L214">
        <f>131500+1.186*D214+33.87*E214+2818.21*F214+10550*G214+21940*H214+17490*I214</f>
        <v>707769.49861999997</v>
      </c>
      <c r="M214">
        <f>K214-L214</f>
        <v>-3956.5086199999787</v>
      </c>
    </row>
    <row r="215" spans="4:13">
      <c r="D215">
        <v>51133.43</v>
      </c>
      <c r="E215">
        <v>5150</v>
      </c>
      <c r="F215">
        <v>88.5</v>
      </c>
      <c r="G215">
        <v>0</v>
      </c>
      <c r="H215">
        <v>0</v>
      </c>
      <c r="I215">
        <v>0</v>
      </c>
      <c r="K215">
        <v>611924.27</v>
      </c>
      <c r="L215">
        <f>131500+1.186*D215+33.87*E215+2818.21*F215+10550*G215+21940*H215+17490*I215</f>
        <v>615986.33297999995</v>
      </c>
      <c r="M215">
        <f>K215-L215</f>
        <v>-4062.0629799999297</v>
      </c>
    </row>
    <row r="216" spans="4:13">
      <c r="D216">
        <v>51056.15</v>
      </c>
      <c r="E216">
        <v>5686</v>
      </c>
      <c r="F216">
        <v>89.9</v>
      </c>
      <c r="G216">
        <v>0</v>
      </c>
      <c r="H216">
        <v>0</v>
      </c>
      <c r="I216">
        <v>0</v>
      </c>
      <c r="K216">
        <v>633494.21</v>
      </c>
      <c r="L216">
        <f>131500+1.186*D216+33.87*E216+2818.21*F216+10550*G216+21940*H216+17490*I216</f>
        <v>637994.49289999995</v>
      </c>
      <c r="M216">
        <f>K216-L216</f>
        <v>-4500.2828999999911</v>
      </c>
    </row>
    <row r="217" spans="4:13">
      <c r="D217">
        <v>71941.62</v>
      </c>
      <c r="E217">
        <v>6084</v>
      </c>
      <c r="F217">
        <v>93.7</v>
      </c>
      <c r="G217">
        <v>0</v>
      </c>
      <c r="H217">
        <v>0</v>
      </c>
      <c r="I217">
        <v>0</v>
      </c>
      <c r="K217">
        <v>681855.56</v>
      </c>
      <c r="L217">
        <f>131500+1.186*D217+33.87*E217+2818.21*F217+10550*G217+21940*H217+17490*I217</f>
        <v>686954.11832000001</v>
      </c>
      <c r="M217">
        <f>K217-L217</f>
        <v>-5098.5583199999528</v>
      </c>
    </row>
    <row r="218" spans="4:13">
      <c r="D218">
        <v>9534.65</v>
      </c>
      <c r="E218">
        <v>6057</v>
      </c>
      <c r="F218">
        <v>94.1</v>
      </c>
      <c r="G218">
        <v>0</v>
      </c>
      <c r="H218">
        <v>0</v>
      </c>
      <c r="I218">
        <v>0</v>
      </c>
      <c r="K218">
        <v>607898.12</v>
      </c>
      <c r="L218">
        <f>131500+1.186*D218+33.87*E218+2818.21*F218+10550*G218+21940*H218+17490*I218</f>
        <v>613152.24589999998</v>
      </c>
      <c r="M218">
        <f>K218-L218</f>
        <v>-5254.1258999999845</v>
      </c>
    </row>
    <row r="219" spans="4:13">
      <c r="D219">
        <v>81902.58</v>
      </c>
      <c r="E219">
        <v>7775</v>
      </c>
      <c r="F219">
        <v>85.2</v>
      </c>
      <c r="G219">
        <v>0</v>
      </c>
      <c r="H219">
        <v>0</v>
      </c>
      <c r="I219">
        <v>0</v>
      </c>
      <c r="K219">
        <v>726776.22</v>
      </c>
      <c r="L219">
        <f>131500+1.186*D219+33.87*E219+2818.21*F219+10550*G219+21940*H219+17490*I219</f>
        <v>732087.20187999995</v>
      </c>
      <c r="M219">
        <f>K219-L219</f>
        <v>-5310.9818799999775</v>
      </c>
    </row>
    <row r="220" spans="4:13">
      <c r="D220">
        <v>66455.8</v>
      </c>
      <c r="E220">
        <v>10836</v>
      </c>
      <c r="F220">
        <v>85</v>
      </c>
      <c r="G220">
        <v>0</v>
      </c>
      <c r="H220">
        <v>0</v>
      </c>
      <c r="I220">
        <v>0</v>
      </c>
      <c r="K220">
        <v>811452.72</v>
      </c>
      <c r="L220">
        <f>131500+1.186*D220+33.87*E220+2818.21*F220+10550*G220+21940*H220+17490*I220</f>
        <v>816879.74879999994</v>
      </c>
      <c r="M220">
        <f>K220-L220</f>
        <v>-5427.0287999999709</v>
      </c>
    </row>
    <row r="221" spans="4:13">
      <c r="D221">
        <v>70366.759999999995</v>
      </c>
      <c r="E221">
        <v>1963</v>
      </c>
      <c r="F221">
        <v>89.8</v>
      </c>
      <c r="G221">
        <v>0</v>
      </c>
      <c r="H221">
        <v>0</v>
      </c>
      <c r="I221">
        <v>0</v>
      </c>
      <c r="K221">
        <v>529075.94999999995</v>
      </c>
      <c r="L221">
        <f>131500+1.186*D221+33.87*E221+2818.21*F221+10550*G221+21940*H221+17490*I221</f>
        <v>534517.04535999999</v>
      </c>
      <c r="M221">
        <f>K221-L221</f>
        <v>-5441.0953600000357</v>
      </c>
    </row>
    <row r="222" spans="4:13">
      <c r="D222">
        <v>54080.91</v>
      </c>
      <c r="E222">
        <v>7083</v>
      </c>
      <c r="F222">
        <v>97</v>
      </c>
      <c r="G222">
        <v>0</v>
      </c>
      <c r="H222">
        <v>0</v>
      </c>
      <c r="I222">
        <v>0</v>
      </c>
      <c r="K222">
        <v>702068.92</v>
      </c>
      <c r="L222">
        <f>131500+1.186*D222+33.87*E222+2818.21*F222+10550*G222+21940*H222+17490*I222</f>
        <v>708907.53925999999</v>
      </c>
      <c r="M222">
        <f>K222-L222</f>
        <v>-6838.6192599999486</v>
      </c>
    </row>
    <row r="223" spans="4:13">
      <c r="D223">
        <v>51148.69</v>
      </c>
      <c r="E223">
        <v>7940</v>
      </c>
      <c r="F223">
        <v>93.3</v>
      </c>
      <c r="G223">
        <v>0</v>
      </c>
      <c r="H223">
        <v>0</v>
      </c>
      <c r="I223">
        <v>0</v>
      </c>
      <c r="K223">
        <v>717141.55</v>
      </c>
      <c r="L223">
        <f>131500+1.186*D223+33.87*E223+2818.21*F223+10550*G223+21940*H223+17490*I223</f>
        <v>724029.13933999999</v>
      </c>
      <c r="M223">
        <f>K223-L223</f>
        <v>-6887.5893399999477</v>
      </c>
    </row>
    <row r="224" spans="4:13">
      <c r="D224">
        <v>21536.18</v>
      </c>
      <c r="E224">
        <v>8119</v>
      </c>
      <c r="F224">
        <v>90.4</v>
      </c>
      <c r="G224">
        <v>0</v>
      </c>
      <c r="H224">
        <v>0</v>
      </c>
      <c r="I224">
        <v>0</v>
      </c>
      <c r="K224">
        <v>679888.74</v>
      </c>
      <c r="L224">
        <f>131500+1.186*D224+33.87*E224+2818.21*F224+10550*G224+21940*H224+17490*I224</f>
        <v>686798.62347999995</v>
      </c>
      <c r="M224">
        <f>K224-L224</f>
        <v>-6909.8834799999604</v>
      </c>
    </row>
    <row r="225" spans="4:13">
      <c r="D225">
        <v>36290.080000000002</v>
      </c>
      <c r="E225">
        <v>5787</v>
      </c>
      <c r="F225">
        <v>88.3</v>
      </c>
      <c r="G225">
        <v>0</v>
      </c>
      <c r="H225">
        <v>0</v>
      </c>
      <c r="I225">
        <v>0</v>
      </c>
      <c r="K225">
        <v>612390.14</v>
      </c>
      <c r="L225">
        <f>131500+1.186*D225+33.87*E225+2818.21*F225+10550*G225+21940*H225+17490*I225</f>
        <v>619393.66787999996</v>
      </c>
      <c r="M225">
        <f>K225-L225</f>
        <v>-7003.5278799999505</v>
      </c>
    </row>
    <row r="226" spans="4:13">
      <c r="D226">
        <v>107970.19</v>
      </c>
      <c r="E226">
        <v>12870</v>
      </c>
      <c r="F226">
        <v>91.7</v>
      </c>
      <c r="G226">
        <v>0</v>
      </c>
      <c r="H226">
        <v>0</v>
      </c>
      <c r="I226">
        <v>0</v>
      </c>
      <c r="K226">
        <v>946833.54</v>
      </c>
      <c r="L226">
        <f>131500+1.186*D226+33.87*E226+2818.21*F226+10550*G226+21940*H226+17490*I226</f>
        <v>953889.40234000003</v>
      </c>
      <c r="M226">
        <f>K226-L226</f>
        <v>-7055.8623399999924</v>
      </c>
    </row>
    <row r="227" spans="4:13">
      <c r="D227">
        <v>35303.300000000003</v>
      </c>
      <c r="E227">
        <v>8789</v>
      </c>
      <c r="F227">
        <v>86.1</v>
      </c>
      <c r="G227">
        <v>0</v>
      </c>
      <c r="H227">
        <v>0</v>
      </c>
      <c r="I227">
        <v>0</v>
      </c>
      <c r="K227">
        <v>706285.52</v>
      </c>
      <c r="L227">
        <f>131500+1.186*D227+33.87*E227+2818.21*F227+10550*G227+21940*H227+17490*I227</f>
        <v>713701.02480000001</v>
      </c>
      <c r="M227">
        <f>K227-L227</f>
        <v>-7415.5047999999952</v>
      </c>
    </row>
    <row r="228" spans="4:13">
      <c r="D228">
        <v>51575.68</v>
      </c>
      <c r="E228">
        <v>5329</v>
      </c>
      <c r="F228">
        <v>88.1</v>
      </c>
      <c r="G228">
        <v>0</v>
      </c>
      <c r="H228">
        <v>0</v>
      </c>
      <c r="I228">
        <v>0</v>
      </c>
      <c r="K228">
        <v>614024.91</v>
      </c>
      <c r="L228">
        <f>131500+1.186*D228+33.87*E228+2818.21*F228+10550*G228+21940*H228+17490*I228</f>
        <v>621446.28747999994</v>
      </c>
      <c r="M228">
        <f>K228-L228</f>
        <v>-7421.3774799999082</v>
      </c>
    </row>
    <row r="229" spans="4:13">
      <c r="D229">
        <v>70284.06</v>
      </c>
      <c r="E229">
        <v>9109</v>
      </c>
      <c r="F229">
        <v>87</v>
      </c>
      <c r="G229">
        <v>0</v>
      </c>
      <c r="H229">
        <v>0</v>
      </c>
      <c r="I229">
        <v>0</v>
      </c>
      <c r="K229">
        <v>761122.42</v>
      </c>
      <c r="L229">
        <f>131500+1.186*D229+33.87*E229+2818.21*F229+10550*G229+21940*H229+17490*I229</f>
        <v>768562.99515999993</v>
      </c>
      <c r="M229">
        <f>K229-L229</f>
        <v>-7440.5751599998912</v>
      </c>
    </row>
    <row r="230" spans="4:13">
      <c r="D230">
        <v>59909.51</v>
      </c>
      <c r="E230">
        <v>8895</v>
      </c>
      <c r="F230">
        <v>88.8</v>
      </c>
      <c r="G230">
        <v>0</v>
      </c>
      <c r="H230">
        <v>0</v>
      </c>
      <c r="I230">
        <v>0</v>
      </c>
      <c r="K230">
        <v>746501.09</v>
      </c>
      <c r="L230">
        <f>131500+1.186*D230+33.87*E230+2818.21*F230+10550*G230+21940*H230+17490*I230</f>
        <v>754083.37685999996</v>
      </c>
      <c r="M230">
        <f>K230-L230</f>
        <v>-7582.2868599999929</v>
      </c>
    </row>
    <row r="231" spans="4:13">
      <c r="D231">
        <v>36606.51</v>
      </c>
      <c r="E231">
        <v>7671</v>
      </c>
      <c r="F231">
        <v>89.8</v>
      </c>
      <c r="G231">
        <v>0</v>
      </c>
      <c r="H231">
        <v>0</v>
      </c>
      <c r="I231">
        <v>0</v>
      </c>
      <c r="K231">
        <v>679731.57</v>
      </c>
      <c r="L231">
        <f>131500+1.186*D231+33.87*E231+2818.21*F231+10550*G231+21940*H231+17490*I231</f>
        <v>687807.34886000003</v>
      </c>
      <c r="M231">
        <f>K231-L231</f>
        <v>-8075.7788600000786</v>
      </c>
    </row>
    <row r="232" spans="4:13">
      <c r="D232">
        <v>34285.21</v>
      </c>
      <c r="E232">
        <v>9172</v>
      </c>
      <c r="F232">
        <v>88.3</v>
      </c>
      <c r="G232">
        <v>0</v>
      </c>
      <c r="H232">
        <v>0</v>
      </c>
      <c r="I232">
        <v>0</v>
      </c>
      <c r="K232">
        <v>723060.76</v>
      </c>
      <c r="L232">
        <f>131500+1.186*D232+33.87*E232+2818.21*F232+10550*G232+21940*H232+17490*I232</f>
        <v>731665.84205999994</v>
      </c>
      <c r="M232">
        <f>K232-L232</f>
        <v>-8605.0820599999279</v>
      </c>
    </row>
    <row r="233" spans="4:13">
      <c r="D233">
        <v>70040.31</v>
      </c>
      <c r="E233">
        <v>9175</v>
      </c>
      <c r="F233">
        <v>95.1</v>
      </c>
      <c r="G233">
        <v>0</v>
      </c>
      <c r="H233">
        <v>0</v>
      </c>
      <c r="I233">
        <v>0</v>
      </c>
      <c r="K233">
        <v>784502.68</v>
      </c>
      <c r="L233">
        <f>131500+1.186*D233+33.87*E233+2818.21*F233+10550*G233+21940*H233+17490*I233</f>
        <v>793336.82865999988</v>
      </c>
      <c r="M233">
        <f>K233-L233</f>
        <v>-8834.1486599998316</v>
      </c>
    </row>
    <row r="234" spans="4:13">
      <c r="D234">
        <v>48804.22</v>
      </c>
      <c r="E234">
        <v>7057</v>
      </c>
      <c r="F234">
        <v>87.7</v>
      </c>
      <c r="G234">
        <v>0</v>
      </c>
      <c r="H234">
        <v>0</v>
      </c>
      <c r="I234">
        <v>0</v>
      </c>
      <c r="K234">
        <v>666152.52</v>
      </c>
      <c r="L234">
        <f>131500+1.186*D234+33.87*E234+2818.21*F234+10550*G234+21940*H234+17490*I234</f>
        <v>675559.41191999998</v>
      </c>
      <c r="M234">
        <f>K234-L234</f>
        <v>-9406.8919199999655</v>
      </c>
    </row>
    <row r="235" spans="4:13">
      <c r="D235">
        <v>75645.23</v>
      </c>
      <c r="E235">
        <v>9674</v>
      </c>
      <c r="F235">
        <v>87.4</v>
      </c>
      <c r="G235">
        <v>0</v>
      </c>
      <c r="H235">
        <v>0</v>
      </c>
      <c r="I235">
        <v>0</v>
      </c>
      <c r="K235">
        <v>785028.25</v>
      </c>
      <c r="L235">
        <f>131500+1.186*D235+33.87*E235+2818.21*F235+10550*G235+21940*H235+17490*I235</f>
        <v>795185.17677999986</v>
      </c>
      <c r="M235">
        <f>K235-L235</f>
        <v>-10156.926779999863</v>
      </c>
    </row>
    <row r="236" spans="4:13">
      <c r="D236">
        <v>64104.28</v>
      </c>
      <c r="E236">
        <v>6015</v>
      </c>
      <c r="F236">
        <v>88.7</v>
      </c>
      <c r="G236">
        <v>0</v>
      </c>
      <c r="H236">
        <v>0</v>
      </c>
      <c r="I236">
        <v>0</v>
      </c>
      <c r="K236">
        <v>650795.49</v>
      </c>
      <c r="L236">
        <f>131500+1.186*D236+33.87*E236+2818.21*F236+10550*G236+21940*H236+17490*I236</f>
        <v>661230.95308000001</v>
      </c>
      <c r="M236">
        <f>K236-L236</f>
        <v>-10435.463080000016</v>
      </c>
    </row>
    <row r="237" spans="4:13">
      <c r="D237">
        <v>58981.91</v>
      </c>
      <c r="E237">
        <v>7324</v>
      </c>
      <c r="F237">
        <v>95.8</v>
      </c>
      <c r="G237">
        <v>0</v>
      </c>
      <c r="H237">
        <v>0</v>
      </c>
      <c r="I237">
        <v>0</v>
      </c>
      <c r="K237">
        <v>708985.19</v>
      </c>
      <c r="L237">
        <f>131500+1.186*D237+33.87*E237+2818.21*F237+10550*G237+21940*H237+17490*I237</f>
        <v>719500.94325999985</v>
      </c>
      <c r="M237">
        <f>K237-L237</f>
        <v>-10515.75325999991</v>
      </c>
    </row>
    <row r="238" spans="4:13">
      <c r="D238">
        <v>46624.05</v>
      </c>
      <c r="E238">
        <v>5104</v>
      </c>
      <c r="F238">
        <v>97.3</v>
      </c>
      <c r="G238">
        <v>0</v>
      </c>
      <c r="H238">
        <v>0</v>
      </c>
      <c r="I238">
        <v>0</v>
      </c>
      <c r="K238">
        <v>622811.74</v>
      </c>
      <c r="L238">
        <f>131500+1.186*D238+33.87*E238+2818.21*F238+10550*G238+21940*H238+17490*I238</f>
        <v>633880.43629999994</v>
      </c>
      <c r="M238">
        <f>K238-L238</f>
        <v>-11068.696299999952</v>
      </c>
    </row>
    <row r="239" spans="4:13">
      <c r="D239">
        <v>78831.12</v>
      </c>
      <c r="E239">
        <v>5538</v>
      </c>
      <c r="F239">
        <v>94.1</v>
      </c>
      <c r="G239">
        <v>0</v>
      </c>
      <c r="H239">
        <v>0</v>
      </c>
      <c r="I239">
        <v>0</v>
      </c>
      <c r="K239">
        <v>666573.19999999995</v>
      </c>
      <c r="L239">
        <f>131500+1.186*D239+33.87*E239+2818.21*F239+10550*G239+21940*H239+17490*I239</f>
        <v>677759.32932000002</v>
      </c>
      <c r="M239">
        <f>K239-L239</f>
        <v>-11186.129320000065</v>
      </c>
    </row>
    <row r="240" spans="4:13">
      <c r="D240">
        <v>46174.7</v>
      </c>
      <c r="E240">
        <v>4898</v>
      </c>
      <c r="F240">
        <v>91.7</v>
      </c>
      <c r="G240">
        <v>0</v>
      </c>
      <c r="H240">
        <v>0</v>
      </c>
      <c r="I240">
        <v>0</v>
      </c>
      <c r="K240">
        <v>599017.32999999996</v>
      </c>
      <c r="L240">
        <f>131500+1.186*D240+33.87*E240+2818.21*F240+10550*G240+21940*H240+17490*I240</f>
        <v>610588.3112</v>
      </c>
      <c r="M240">
        <f>K240-L240</f>
        <v>-11570.981200000038</v>
      </c>
    </row>
    <row r="241" spans="4:13">
      <c r="D241">
        <v>34771.26</v>
      </c>
      <c r="E241">
        <v>4355</v>
      </c>
      <c r="F241">
        <v>87.9</v>
      </c>
      <c r="G241">
        <v>0</v>
      </c>
      <c r="H241">
        <v>0</v>
      </c>
      <c r="I241">
        <v>0</v>
      </c>
      <c r="K241">
        <v>555557.77</v>
      </c>
      <c r="L241">
        <f>131500+1.186*D241+33.87*E241+2818.21*F241+10550*G241+21940*H241+17490*I241</f>
        <v>567963.22335999995</v>
      </c>
      <c r="M241">
        <f>K241-L241</f>
        <v>-12405.453359999927</v>
      </c>
    </row>
    <row r="242" spans="4:13">
      <c r="D242">
        <v>37705.879999999997</v>
      </c>
      <c r="E242">
        <v>1268</v>
      </c>
      <c r="F242">
        <v>84.1</v>
      </c>
      <c r="G242">
        <v>0</v>
      </c>
      <c r="H242">
        <v>0</v>
      </c>
      <c r="I242">
        <v>0</v>
      </c>
      <c r="K242">
        <v>443275.59</v>
      </c>
      <c r="L242">
        <f>131500+1.186*D242+33.87*E242+2818.21*F242+10550*G242+21940*H242+17490*I242</f>
        <v>456177.79467999999</v>
      </c>
      <c r="M242">
        <f>K242-L242</f>
        <v>-12902.204679999966</v>
      </c>
    </row>
    <row r="243" spans="4:13">
      <c r="D243">
        <v>44970.080000000002</v>
      </c>
      <c r="E243">
        <v>2471</v>
      </c>
      <c r="F243">
        <v>87.6</v>
      </c>
      <c r="G243">
        <v>0</v>
      </c>
      <c r="H243">
        <v>0</v>
      </c>
      <c r="I243">
        <v>0</v>
      </c>
      <c r="K243">
        <v>500173.02</v>
      </c>
      <c r="L243">
        <f>131500+1.186*D243+33.87*E243+2818.21*F243+10550*G243+21940*H243+17490*I243</f>
        <v>515402.48087999999</v>
      </c>
      <c r="M243">
        <f>K243-L243</f>
        <v>-15229.46087999997</v>
      </c>
    </row>
    <row r="244" spans="4:13">
      <c r="D244">
        <v>64811.21</v>
      </c>
      <c r="E244">
        <v>9792</v>
      </c>
      <c r="F244">
        <v>84.2</v>
      </c>
      <c r="G244">
        <v>0</v>
      </c>
      <c r="H244">
        <v>0</v>
      </c>
      <c r="I244">
        <v>0</v>
      </c>
      <c r="K244">
        <v>761835.34</v>
      </c>
      <c r="L244">
        <f>131500+1.186*D244+33.87*E244+2818.21*F244+10550*G244+21940*H244+17490*I244</f>
        <v>777314.41706000001</v>
      </c>
      <c r="M244">
        <f>K244-L244</f>
        <v>-15479.07706000004</v>
      </c>
    </row>
    <row r="245" spans="4:13">
      <c r="D245">
        <v>25990.54</v>
      </c>
      <c r="E245">
        <v>9249</v>
      </c>
      <c r="F245">
        <v>92.5</v>
      </c>
      <c r="G245">
        <v>0</v>
      </c>
      <c r="H245">
        <v>0</v>
      </c>
      <c r="I245">
        <v>0</v>
      </c>
      <c r="K245">
        <v>718074.79</v>
      </c>
      <c r="L245">
        <f>131500+1.186*D245+33.87*E245+2818.21*F245+10550*G245+21940*H245+17490*I245</f>
        <v>736272.83544000005</v>
      </c>
      <c r="M245">
        <f>K245-L245</f>
        <v>-18198.045440000016</v>
      </c>
    </row>
    <row r="246" spans="4:13">
      <c r="D246">
        <v>77999.899999999994</v>
      </c>
      <c r="E246">
        <v>5974</v>
      </c>
      <c r="F246">
        <v>81.3</v>
      </c>
      <c r="G246">
        <v>0</v>
      </c>
      <c r="H246">
        <v>0</v>
      </c>
      <c r="I246">
        <v>0</v>
      </c>
      <c r="K246">
        <v>636561.34</v>
      </c>
      <c r="L246">
        <f>131500+1.186*D246+33.87*E246+2818.21*F246+10550*G246+21940*H246+17490*I246</f>
        <v>655467.73439999996</v>
      </c>
      <c r="M246">
        <f>K246-L246</f>
        <v>-18906.39439999999</v>
      </c>
    </row>
    <row r="247" spans="4:13">
      <c r="D247">
        <v>63043.94</v>
      </c>
      <c r="E247">
        <v>10402</v>
      </c>
      <c r="F247">
        <v>93.9</v>
      </c>
      <c r="G247">
        <v>0</v>
      </c>
      <c r="H247">
        <v>0</v>
      </c>
      <c r="I247">
        <v>0</v>
      </c>
      <c r="K247">
        <v>804264</v>
      </c>
      <c r="L247">
        <f>131500+1.186*D247+33.87*E247+2818.21*F247+10550*G247+21940*H247+17490*I247</f>
        <v>823215.77184000006</v>
      </c>
      <c r="M247">
        <f>K247-L247</f>
        <v>-18951.771840000059</v>
      </c>
    </row>
    <row r="248" spans="4:13">
      <c r="D248">
        <v>88443.77</v>
      </c>
      <c r="E248">
        <v>4004</v>
      </c>
      <c r="F248">
        <v>91.9</v>
      </c>
      <c r="G248">
        <v>0</v>
      </c>
      <c r="H248">
        <v>0</v>
      </c>
      <c r="I248">
        <v>0</v>
      </c>
      <c r="K248">
        <v>611766.72</v>
      </c>
      <c r="L248">
        <f>131500+1.186*D248+33.87*E248+2818.21*F248+10550*G248+21940*H248+17490*I248</f>
        <v>631003.29022000008</v>
      </c>
      <c r="M248">
        <f>K248-L248</f>
        <v>-19236.570220000111</v>
      </c>
    </row>
    <row r="249" spans="4:13">
      <c r="D249">
        <v>59117.9</v>
      </c>
      <c r="E249">
        <v>4263</v>
      </c>
      <c r="F249">
        <v>87.6</v>
      </c>
      <c r="G249">
        <v>0</v>
      </c>
      <c r="H249">
        <v>0</v>
      </c>
      <c r="I249">
        <v>0</v>
      </c>
      <c r="K249">
        <v>573155.18999999994</v>
      </c>
      <c r="L249">
        <f>131500+1.186*D249+33.87*E249+2818.21*F249+10550*G249+21940*H249+17490*I249</f>
        <v>592876.83539999998</v>
      </c>
      <c r="M249">
        <f>K249-L249</f>
        <v>-19721.645400000038</v>
      </c>
    </row>
    <row r="250" spans="4:13">
      <c r="D250">
        <v>41863.08</v>
      </c>
      <c r="E250">
        <v>5400</v>
      </c>
      <c r="F250">
        <v>91.6</v>
      </c>
      <c r="G250">
        <v>0</v>
      </c>
      <c r="H250">
        <v>0</v>
      </c>
      <c r="I250">
        <v>0</v>
      </c>
      <c r="K250">
        <v>602002.31999999995</v>
      </c>
      <c r="L250">
        <f>131500+1.186*D250+33.87*E250+2818.21*F250+10550*G250+21940*H250+17490*I250</f>
        <v>622195.64887999999</v>
      </c>
      <c r="M250">
        <f>K250-L250</f>
        <v>-20193.328880000045</v>
      </c>
    </row>
    <row r="251" spans="4:13">
      <c r="D251">
        <v>42932.02</v>
      </c>
      <c r="E251">
        <v>3872</v>
      </c>
      <c r="F251">
        <v>83.2</v>
      </c>
      <c r="G251">
        <v>0</v>
      </c>
      <c r="H251">
        <v>0</v>
      </c>
      <c r="I251">
        <v>0</v>
      </c>
      <c r="K251">
        <v>527681.56000000006</v>
      </c>
      <c r="L251">
        <f>131500+1.186*D251+33.87*E251+2818.21*F251+10550*G251+21940*H251+17490*I251</f>
        <v>548037.08772000007</v>
      </c>
      <c r="M251">
        <f>K251-L251</f>
        <v>-20355.527720000013</v>
      </c>
    </row>
    <row r="252" spans="4:13">
      <c r="D252">
        <v>51996.32</v>
      </c>
      <c r="E252">
        <v>3834</v>
      </c>
      <c r="F252">
        <v>86.7</v>
      </c>
      <c r="G252">
        <v>0</v>
      </c>
      <c r="H252">
        <v>0</v>
      </c>
      <c r="I252">
        <v>0</v>
      </c>
      <c r="K252">
        <v>546223.69999999995</v>
      </c>
      <c r="L252">
        <f>131500+1.186*D252+33.87*E252+2818.21*F252+10550*G252+21940*H252+17490*I252</f>
        <v>567364.02252</v>
      </c>
      <c r="M252">
        <f>K252-L252</f>
        <v>-21140.322520000045</v>
      </c>
    </row>
    <row r="253" spans="4:13">
      <c r="D253">
        <v>63101.59</v>
      </c>
      <c r="E253">
        <v>4373</v>
      </c>
      <c r="F253">
        <v>90.4</v>
      </c>
      <c r="G253">
        <v>0</v>
      </c>
      <c r="H253">
        <v>0</v>
      </c>
      <c r="I253">
        <v>0</v>
      </c>
      <c r="K253">
        <v>586626.93999999994</v>
      </c>
      <c r="L253">
        <f>131500+1.186*D253+33.87*E253+2818.21*F253+10550*G253+21940*H253+17490*I253</f>
        <v>609218.17973999993</v>
      </c>
      <c r="M253">
        <f>K253-L253</f>
        <v>-22591.23973999999</v>
      </c>
    </row>
    <row r="254" spans="4:13">
      <c r="D254">
        <v>36813.449999999997</v>
      </c>
      <c r="E254">
        <v>2834</v>
      </c>
      <c r="F254">
        <v>81.8</v>
      </c>
      <c r="G254">
        <v>0</v>
      </c>
      <c r="H254">
        <v>0</v>
      </c>
      <c r="I254">
        <v>0</v>
      </c>
      <c r="K254">
        <v>479050.5</v>
      </c>
      <c r="L254">
        <f>131500+1.186*D254+33.87*E254+2818.21*F254+10550*G254+21940*H254+17490*I254</f>
        <v>501677.90969999996</v>
      </c>
      <c r="M254">
        <f>K254-L254</f>
        <v>-22627.40969999996</v>
      </c>
    </row>
    <row r="255" spans="4:13">
      <c r="D255">
        <v>48396.13</v>
      </c>
      <c r="E255">
        <v>4423</v>
      </c>
      <c r="F255">
        <v>85.7</v>
      </c>
      <c r="G255">
        <v>0</v>
      </c>
      <c r="H255">
        <v>0</v>
      </c>
      <c r="I255">
        <v>0</v>
      </c>
      <c r="K255">
        <v>557487.26</v>
      </c>
      <c r="L255">
        <f>131500+1.186*D255+33.87*E255+2818.21*F255+10550*G255+21940*H255+17490*I255</f>
        <v>580225.41717999999</v>
      </c>
      <c r="M255">
        <f>K255-L255</f>
        <v>-22738.15717999998</v>
      </c>
    </row>
    <row r="256" spans="4:13">
      <c r="D256">
        <v>68040.149999999994</v>
      </c>
      <c r="E256">
        <v>9826</v>
      </c>
      <c r="F256">
        <v>83.9</v>
      </c>
      <c r="G256">
        <v>0</v>
      </c>
      <c r="H256">
        <v>0</v>
      </c>
      <c r="I256">
        <v>0</v>
      </c>
      <c r="K256">
        <v>758138.29</v>
      </c>
      <c r="L256">
        <f>131500+1.186*D256+33.87*E256+2818.21*F256+10550*G256+21940*H256+17490*I256</f>
        <v>781450.05689999997</v>
      </c>
      <c r="M256">
        <f>K256-L256</f>
        <v>-23311.76689999993</v>
      </c>
    </row>
    <row r="257" spans="4:13">
      <c r="D257">
        <v>61245.41</v>
      </c>
      <c r="E257">
        <v>8156</v>
      </c>
      <c r="F257">
        <v>92.9</v>
      </c>
      <c r="G257">
        <v>0</v>
      </c>
      <c r="H257">
        <v>0</v>
      </c>
      <c r="I257">
        <v>0</v>
      </c>
      <c r="K257">
        <v>718330.53</v>
      </c>
      <c r="L257">
        <f>131500+1.186*D257+33.87*E257+2818.21*F257+10550*G257+21940*H257+17490*I257</f>
        <v>742192.48525999999</v>
      </c>
      <c r="M257">
        <f>K257-L257</f>
        <v>-23861.955259999959</v>
      </c>
    </row>
    <row r="258" spans="4:13">
      <c r="D258">
        <v>54002.83</v>
      </c>
      <c r="E258">
        <v>4366</v>
      </c>
      <c r="F258">
        <v>90.6</v>
      </c>
      <c r="G258">
        <v>0</v>
      </c>
      <c r="H258">
        <v>0</v>
      </c>
      <c r="I258">
        <v>0</v>
      </c>
      <c r="K258">
        <v>574066.61</v>
      </c>
      <c r="L258">
        <f>131500+1.186*D258+33.87*E258+2818.21*F258+10550*G258+21940*H258+17490*I258</f>
        <v>598753.60238000005</v>
      </c>
      <c r="M258">
        <f>K258-L258</f>
        <v>-24686.992380000069</v>
      </c>
    </row>
    <row r="259" spans="4:13">
      <c r="D259">
        <v>50909.27</v>
      </c>
      <c r="E259">
        <v>3152</v>
      </c>
      <c r="F259">
        <v>93.7</v>
      </c>
      <c r="G259">
        <v>0</v>
      </c>
      <c r="H259">
        <v>0</v>
      </c>
      <c r="I259">
        <v>0</v>
      </c>
      <c r="K259">
        <v>537058.32999999996</v>
      </c>
      <c r="L259">
        <f>131500+1.186*D259+33.87*E259+2818.21*F259+10550*G259+21940*H259+17490*I259</f>
        <v>562702.91122000001</v>
      </c>
      <c r="M259">
        <f>K259-L259</f>
        <v>-25644.581220000051</v>
      </c>
    </row>
    <row r="260" spans="4:13">
      <c r="D260">
        <v>27808.6</v>
      </c>
      <c r="E260">
        <v>2863</v>
      </c>
      <c r="F260">
        <v>89.3</v>
      </c>
      <c r="G260">
        <v>0</v>
      </c>
      <c r="H260">
        <v>0</v>
      </c>
      <c r="I260">
        <v>0</v>
      </c>
      <c r="K260">
        <v>487464.91</v>
      </c>
      <c r="L260">
        <f>131500+1.186*D260+33.87*E260+2818.21*F260+10550*G260+21940*H260+17490*I260</f>
        <v>513116.96259999997</v>
      </c>
      <c r="M260">
        <f>K260-L260</f>
        <v>-25652.052599999995</v>
      </c>
    </row>
    <row r="261" spans="4:13">
      <c r="D261">
        <v>52483.77</v>
      </c>
      <c r="E261">
        <v>10453</v>
      </c>
      <c r="F261">
        <v>99</v>
      </c>
      <c r="G261">
        <v>0</v>
      </c>
      <c r="H261">
        <v>0</v>
      </c>
      <c r="I261">
        <v>0</v>
      </c>
      <c r="K261">
        <v>800979.78</v>
      </c>
      <c r="L261">
        <f>131500+1.186*D261+33.87*E261+2818.21*F261+10550*G261+21940*H261+17490*I261</f>
        <v>826791.65121999988</v>
      </c>
      <c r="M261">
        <f>K261-L261</f>
        <v>-25811.871219999855</v>
      </c>
    </row>
    <row r="262" spans="4:13">
      <c r="D262">
        <v>23702.38</v>
      </c>
      <c r="E262">
        <v>5285</v>
      </c>
      <c r="F262">
        <v>79.7</v>
      </c>
      <c r="G262">
        <v>0</v>
      </c>
      <c r="H262">
        <v>0</v>
      </c>
      <c r="I262">
        <v>0</v>
      </c>
      <c r="K262">
        <v>536524.84</v>
      </c>
      <c r="L262">
        <f>131500+1.186*D262+33.87*E262+2818.21*F262+10550*G262+21940*H262+17490*I262</f>
        <v>563225.30967999995</v>
      </c>
      <c r="M262">
        <f>K262-L262</f>
        <v>-26700.46967999998</v>
      </c>
    </row>
    <row r="263" spans="4:13">
      <c r="D263">
        <v>35203.230000000003</v>
      </c>
      <c r="E263">
        <v>6896</v>
      </c>
      <c r="F263">
        <v>80.8</v>
      </c>
      <c r="G263">
        <v>0</v>
      </c>
      <c r="H263">
        <v>0</v>
      </c>
      <c r="I263">
        <v>0</v>
      </c>
      <c r="K263">
        <v>607084.92000000004</v>
      </c>
      <c r="L263">
        <f>131500+1.186*D263+33.87*E263+2818.21*F263+10550*G263+21940*H263+17490*I263</f>
        <v>634529.91877999995</v>
      </c>
      <c r="M263">
        <f>K263-L263</f>
        <v>-27444.998779999907</v>
      </c>
    </row>
    <row r="264" spans="4:13">
      <c r="D264">
        <v>62059.18</v>
      </c>
      <c r="E264">
        <v>9374</v>
      </c>
      <c r="F264">
        <v>87.1</v>
      </c>
      <c r="G264">
        <v>0</v>
      </c>
      <c r="H264">
        <v>0</v>
      </c>
      <c r="I264">
        <v>0</v>
      </c>
      <c r="K264">
        <v>739831.73</v>
      </c>
      <c r="L264">
        <f>131500+1.186*D264+33.87*E264+2818.21*F264+10550*G264+21940*H264+17490*I264</f>
        <v>768065.65847999998</v>
      </c>
      <c r="M264">
        <f>K264-L264</f>
        <v>-28233.928480000002</v>
      </c>
    </row>
    <row r="265" spans="4:13">
      <c r="D265">
        <v>57390.04</v>
      </c>
      <c r="E265">
        <v>7374</v>
      </c>
      <c r="F265">
        <v>91.8</v>
      </c>
      <c r="G265">
        <v>0</v>
      </c>
      <c r="H265">
        <v>0</v>
      </c>
      <c r="I265">
        <v>0</v>
      </c>
      <c r="K265">
        <v>679230.86</v>
      </c>
      <c r="L265">
        <f>131500+1.186*D265+33.87*E265+2818.21*F265+10550*G265+21940*H265+17490*I265</f>
        <v>708033.64543999999</v>
      </c>
      <c r="M265">
        <f>K265-L265</f>
        <v>-28802.785440000007</v>
      </c>
    </row>
    <row r="266" spans="4:13">
      <c r="D266">
        <v>54479.33</v>
      </c>
      <c r="E266">
        <v>5012</v>
      </c>
      <c r="F266">
        <v>86</v>
      </c>
      <c r="G266">
        <v>0</v>
      </c>
      <c r="H266">
        <v>0</v>
      </c>
      <c r="I266">
        <v>0</v>
      </c>
      <c r="K266">
        <v>578949.84</v>
      </c>
      <c r="L266">
        <f>131500+1.186*D266+33.87*E266+2818.21*F266+10550*G266+21940*H266+17490*I266</f>
        <v>608234.98537999997</v>
      </c>
      <c r="M266">
        <f>K266-L266</f>
        <v>-29285.145380000002</v>
      </c>
    </row>
    <row r="267" spans="4:13">
      <c r="D267">
        <v>73540.990000000005</v>
      </c>
      <c r="E267">
        <v>8773</v>
      </c>
      <c r="F267">
        <v>84.4</v>
      </c>
      <c r="G267">
        <v>0</v>
      </c>
      <c r="H267">
        <v>0</v>
      </c>
      <c r="I267">
        <v>0</v>
      </c>
      <c r="K267">
        <v>723531.4</v>
      </c>
      <c r="L267">
        <f>131500+1.186*D267+33.87*E267+2818.21*F267+10550*G267+21940*H267+17490*I267</f>
        <v>753718.04813999997</v>
      </c>
      <c r="M267">
        <f>K267-L267</f>
        <v>-30186.648139999947</v>
      </c>
    </row>
    <row r="268" spans="4:13">
      <c r="D268">
        <v>45940.39</v>
      </c>
      <c r="E268">
        <v>4022</v>
      </c>
      <c r="F268">
        <v>83</v>
      </c>
      <c r="G268">
        <v>0</v>
      </c>
      <c r="H268">
        <v>0</v>
      </c>
      <c r="I268">
        <v>0</v>
      </c>
      <c r="K268">
        <v>524899.56999999995</v>
      </c>
      <c r="L268">
        <f>131500+1.186*D268+33.87*E268+2818.21*F268+10550*G268+21940*H268+17490*I268</f>
        <v>556121.87253999989</v>
      </c>
      <c r="M268">
        <f>K268-L268</f>
        <v>-31222.302539999946</v>
      </c>
    </row>
    <row r="269" spans="4:13">
      <c r="D269">
        <v>68909.259999999995</v>
      </c>
      <c r="E269">
        <v>7794</v>
      </c>
      <c r="F269">
        <v>89</v>
      </c>
      <c r="G269">
        <v>0</v>
      </c>
      <c r="H269">
        <v>0</v>
      </c>
      <c r="I269">
        <v>0</v>
      </c>
      <c r="K269">
        <v>696261.49</v>
      </c>
      <c r="L269">
        <f>131500+1.186*D269+33.87*E269+2818.21*F269+10550*G269+21940*H269+17490*I269</f>
        <v>728029.8523599999</v>
      </c>
      <c r="M269">
        <f>K269-L269</f>
        <v>-31768.362359999912</v>
      </c>
    </row>
    <row r="270" spans="4:13">
      <c r="D270">
        <v>33173.949999999997</v>
      </c>
      <c r="E270">
        <v>6545</v>
      </c>
      <c r="F270">
        <v>84.4</v>
      </c>
      <c r="G270">
        <v>0</v>
      </c>
      <c r="H270">
        <v>0</v>
      </c>
      <c r="I270">
        <v>0</v>
      </c>
      <c r="K270">
        <v>596969.27</v>
      </c>
      <c r="L270">
        <f>131500+1.186*D270+33.87*E270+2818.21*F270+10550*G270+21940*H270+17490*I270</f>
        <v>630380.3787</v>
      </c>
      <c r="M270">
        <f>K270-L270</f>
        <v>-33411.108699999982</v>
      </c>
    </row>
    <row r="271" spans="4:13">
      <c r="D271">
        <v>43645.98</v>
      </c>
      <c r="E271">
        <v>9480</v>
      </c>
      <c r="F271">
        <v>89</v>
      </c>
      <c r="G271">
        <v>0</v>
      </c>
      <c r="H271">
        <v>0</v>
      </c>
      <c r="I271">
        <v>0</v>
      </c>
      <c r="K271">
        <v>721364.11</v>
      </c>
      <c r="L271">
        <f>131500+1.186*D271+33.87*E271+2818.21*F271+10550*G271+21940*H271+17490*I271</f>
        <v>755172.42228000006</v>
      </c>
      <c r="M271">
        <f>K271-L271</f>
        <v>-33808.312280000071</v>
      </c>
    </row>
    <row r="272" spans="4:13">
      <c r="D272">
        <v>33605.18</v>
      </c>
      <c r="E272">
        <v>9225</v>
      </c>
      <c r="F272">
        <v>88.4</v>
      </c>
      <c r="G272">
        <v>0</v>
      </c>
      <c r="H272">
        <v>0</v>
      </c>
      <c r="I272">
        <v>0</v>
      </c>
      <c r="K272">
        <v>697287.9</v>
      </c>
      <c r="L272">
        <f>131500+1.186*D272+33.87*E272+2818.21*F272+10550*G272+21940*H272+17490*I272</f>
        <v>732936.25748000003</v>
      </c>
      <c r="M272">
        <f>K272-L272</f>
        <v>-35648.357480000006</v>
      </c>
    </row>
    <row r="273" spans="4:13">
      <c r="D273">
        <v>46767.99</v>
      </c>
      <c r="E273">
        <v>7973</v>
      </c>
      <c r="F273">
        <v>94.8</v>
      </c>
      <c r="G273">
        <v>0</v>
      </c>
      <c r="H273">
        <v>0</v>
      </c>
      <c r="I273">
        <v>0</v>
      </c>
      <c r="K273">
        <v>688368.46</v>
      </c>
      <c r="L273">
        <f>131500+1.186*D273+33.87*E273+2818.21*F273+10550*G273+21940*H273+17490*I273</f>
        <v>724178.65414</v>
      </c>
      <c r="M273">
        <f>K273-L273</f>
        <v>-35810.194140000036</v>
      </c>
    </row>
    <row r="274" spans="4:13">
      <c r="D274">
        <v>61433.84</v>
      </c>
      <c r="E274">
        <v>7745</v>
      </c>
      <c r="F274">
        <v>90.5</v>
      </c>
      <c r="G274">
        <v>0</v>
      </c>
      <c r="H274">
        <v>0</v>
      </c>
      <c r="I274">
        <v>0</v>
      </c>
      <c r="K274">
        <v>685830.24</v>
      </c>
      <c r="L274">
        <f>131500+1.186*D274+33.87*E274+2818.21*F274+10550*G274+21940*H274+17490*I274</f>
        <v>721731.68923999998</v>
      </c>
      <c r="M274">
        <f>K274-L274</f>
        <v>-35901.449239999987</v>
      </c>
    </row>
    <row r="275" spans="4:13">
      <c r="D275">
        <v>63630.21</v>
      </c>
      <c r="E275">
        <v>4460</v>
      </c>
      <c r="F275">
        <v>98.6</v>
      </c>
      <c r="G275">
        <v>0</v>
      </c>
      <c r="H275">
        <v>0</v>
      </c>
      <c r="I275">
        <v>0</v>
      </c>
      <c r="K275">
        <v>599603.4</v>
      </c>
      <c r="L275">
        <f>131500+1.186*D275+33.87*E275+2818.21*F275+10550*G275+21940*H275+17490*I275</f>
        <v>635901.13506</v>
      </c>
      <c r="M275">
        <f>K275-L275</f>
        <v>-36297.735059999977</v>
      </c>
    </row>
    <row r="276" spans="4:13">
      <c r="D276">
        <v>41443.410000000003</v>
      </c>
      <c r="E276">
        <v>7455</v>
      </c>
      <c r="F276">
        <v>90.1</v>
      </c>
      <c r="G276">
        <v>0</v>
      </c>
      <c r="H276">
        <v>0</v>
      </c>
      <c r="I276">
        <v>0</v>
      </c>
      <c r="K276">
        <v>650480.06000000006</v>
      </c>
      <c r="L276">
        <f>131500+1.186*D276+33.87*E276+2818.21*F276+10550*G276+21940*H276+17490*I276</f>
        <v>687073.45525999996</v>
      </c>
      <c r="M276">
        <f>K276-L276</f>
        <v>-36593.395259999903</v>
      </c>
    </row>
    <row r="277" spans="4:13">
      <c r="D277">
        <v>118910.48</v>
      </c>
      <c r="E277">
        <v>4022</v>
      </c>
      <c r="F277">
        <v>87.1</v>
      </c>
      <c r="G277">
        <v>0</v>
      </c>
      <c r="H277">
        <v>0</v>
      </c>
      <c r="I277">
        <v>0</v>
      </c>
      <c r="K277">
        <v>617291.15</v>
      </c>
      <c r="L277">
        <f>131500+1.186*D277+33.87*E277+2818.21*F277+10550*G277+21940*H277+17490*I277</f>
        <v>654219.06027999998</v>
      </c>
      <c r="M277">
        <f>K277-L277</f>
        <v>-36927.910279999953</v>
      </c>
    </row>
    <row r="278" spans="4:13">
      <c r="D278">
        <v>40553.11</v>
      </c>
      <c r="E278">
        <v>5317</v>
      </c>
      <c r="F278">
        <v>84.3</v>
      </c>
      <c r="G278">
        <v>0</v>
      </c>
      <c r="H278">
        <v>0</v>
      </c>
      <c r="I278">
        <v>0</v>
      </c>
      <c r="K278">
        <v>559660.84</v>
      </c>
      <c r="L278">
        <f>131500+1.186*D278+33.87*E278+2818.21*F278+10550*G278+21940*H278+17490*I278</f>
        <v>597257.88145999995</v>
      </c>
      <c r="M278">
        <f>K278-L278</f>
        <v>-37597.041459999979</v>
      </c>
    </row>
    <row r="279" spans="4:13">
      <c r="D279">
        <v>70488.2</v>
      </c>
      <c r="E279">
        <v>4312</v>
      </c>
      <c r="F279">
        <v>90.2</v>
      </c>
      <c r="G279">
        <v>0</v>
      </c>
      <c r="H279">
        <v>0</v>
      </c>
      <c r="I279">
        <v>0</v>
      </c>
      <c r="K279">
        <v>577732.56999999995</v>
      </c>
      <c r="L279">
        <f>131500+1.186*D279+33.87*E279+2818.21*F279+10550*G279+21940*H279+17490*I279</f>
        <v>615348.98720000009</v>
      </c>
      <c r="M279">
        <f>K279-L279</f>
        <v>-37616.417200000142</v>
      </c>
    </row>
    <row r="280" spans="4:13">
      <c r="D280">
        <v>70276.28</v>
      </c>
      <c r="E280">
        <v>3043</v>
      </c>
      <c r="F280">
        <v>87.9</v>
      </c>
      <c r="G280">
        <v>0</v>
      </c>
      <c r="H280">
        <v>0</v>
      </c>
      <c r="I280">
        <v>0</v>
      </c>
      <c r="K280">
        <v>527300.13</v>
      </c>
      <c r="L280">
        <f>131500+1.186*D280+33.87*E280+2818.21*F280+10550*G280+21940*H280+17490*I280</f>
        <v>565634.73707999999</v>
      </c>
      <c r="M280">
        <f>K280-L280</f>
        <v>-38334.607079999987</v>
      </c>
    </row>
    <row r="281" spans="4:13">
      <c r="D281">
        <v>52952.12</v>
      </c>
      <c r="E281">
        <v>4377</v>
      </c>
      <c r="F281">
        <v>88.6</v>
      </c>
      <c r="G281">
        <v>0</v>
      </c>
      <c r="H281">
        <v>0</v>
      </c>
      <c r="I281">
        <v>0</v>
      </c>
      <c r="K281">
        <v>553756.43000000005</v>
      </c>
      <c r="L281">
        <f>131500+1.186*D281+33.87*E281+2818.21*F281+10550*G281+21940*H281+17490*I281</f>
        <v>592243.61031999998</v>
      </c>
      <c r="M281">
        <f>K281-L281</f>
        <v>-38487.180319999927</v>
      </c>
    </row>
    <row r="282" spans="4:13">
      <c r="D282">
        <v>43896.13</v>
      </c>
      <c r="E282">
        <v>3853</v>
      </c>
      <c r="F282">
        <v>83</v>
      </c>
      <c r="G282">
        <v>0</v>
      </c>
      <c r="H282">
        <v>0</v>
      </c>
      <c r="I282">
        <v>0</v>
      </c>
      <c r="K282">
        <v>509484.81</v>
      </c>
      <c r="L282">
        <f>131500+1.186*D282+33.87*E282+2818.21*F282+10550*G282+21940*H282+17490*I282</f>
        <v>547973.35018000007</v>
      </c>
      <c r="M282">
        <f>K282-L282</f>
        <v>-38488.540180000069</v>
      </c>
    </row>
    <row r="283" spans="4:13">
      <c r="D283">
        <v>58749.63</v>
      </c>
      <c r="E283">
        <v>8252</v>
      </c>
      <c r="F283">
        <v>85.2</v>
      </c>
      <c r="G283">
        <v>0</v>
      </c>
      <c r="H283">
        <v>0</v>
      </c>
      <c r="I283">
        <v>0</v>
      </c>
      <c r="K283">
        <v>680840.36</v>
      </c>
      <c r="L283">
        <f>131500+1.186*D283+33.87*E283+2818.21*F283+10550*G283+21940*H283+17490*I283</f>
        <v>720783.79317999992</v>
      </c>
      <c r="M283">
        <f>K283-L283</f>
        <v>-39943.433179999935</v>
      </c>
    </row>
    <row r="284" spans="4:13">
      <c r="D284">
        <v>81796.740000000005</v>
      </c>
      <c r="E284">
        <v>6177</v>
      </c>
      <c r="F284">
        <v>87.9</v>
      </c>
      <c r="G284">
        <v>0</v>
      </c>
      <c r="H284">
        <v>0</v>
      </c>
      <c r="I284">
        <v>0</v>
      </c>
      <c r="K284">
        <v>643428.85</v>
      </c>
      <c r="L284">
        <f>131500+1.186*D284+33.87*E284+2818.21*F284+10550*G284+21940*H284+17490*I284</f>
        <v>685446.58264000004</v>
      </c>
      <c r="M284">
        <f>K284-L284</f>
        <v>-42017.73264000006</v>
      </c>
    </row>
    <row r="285" spans="4:13">
      <c r="D285">
        <v>54966.18</v>
      </c>
      <c r="E285">
        <v>4423</v>
      </c>
      <c r="F285">
        <v>88.7</v>
      </c>
      <c r="G285">
        <v>0</v>
      </c>
      <c r="H285">
        <v>0</v>
      </c>
      <c r="I285">
        <v>0</v>
      </c>
      <c r="K285">
        <v>554012.06999999995</v>
      </c>
      <c r="L285">
        <f>131500+1.186*D285+33.87*E285+2818.21*F285+10550*G285+21940*H285+17490*I285</f>
        <v>596472.12648000009</v>
      </c>
      <c r="M285">
        <f>K285-L285</f>
        <v>-42460.056480000145</v>
      </c>
    </row>
    <row r="286" spans="4:13">
      <c r="D286">
        <v>48412.639999999999</v>
      </c>
      <c r="E286">
        <v>9545</v>
      </c>
      <c r="F286">
        <v>97.6</v>
      </c>
      <c r="G286">
        <v>0</v>
      </c>
      <c r="H286">
        <v>0</v>
      </c>
      <c r="I286">
        <v>0</v>
      </c>
      <c r="K286">
        <v>741341.44</v>
      </c>
      <c r="L286">
        <f>131500+1.186*D286+33.87*E286+2818.21*F286+10550*G286+21940*H286+17490*I286</f>
        <v>787263.8370399999</v>
      </c>
      <c r="M286">
        <f>K286-L286</f>
        <v>-45922.397039999953</v>
      </c>
    </row>
    <row r="287" spans="4:13">
      <c r="D287">
        <v>22071.64</v>
      </c>
      <c r="E287">
        <v>1814</v>
      </c>
      <c r="F287">
        <v>81.099999999999994</v>
      </c>
      <c r="G287">
        <v>0</v>
      </c>
      <c r="H287">
        <v>0</v>
      </c>
      <c r="I287">
        <v>0</v>
      </c>
      <c r="K287">
        <v>400831.65</v>
      </c>
      <c r="L287">
        <f>131500+1.186*D287+33.87*E287+2818.21*F287+10550*G287+21940*H287+17490*I287</f>
        <v>447673.97603999998</v>
      </c>
      <c r="M287">
        <f>K287-L287</f>
        <v>-46842.326039999956</v>
      </c>
    </row>
    <row r="288" spans="4:13">
      <c r="D288">
        <v>60684.05</v>
      </c>
      <c r="E288">
        <v>6399</v>
      </c>
      <c r="F288">
        <v>99</v>
      </c>
      <c r="G288">
        <v>0</v>
      </c>
      <c r="H288">
        <v>0</v>
      </c>
      <c r="I288">
        <v>0</v>
      </c>
      <c r="K288">
        <v>651164.18000000005</v>
      </c>
      <c r="L288">
        <f>131500+1.186*D288+33.87*E288+2818.21*F288+10550*G288+21940*H288+17490*I288</f>
        <v>699208.20329999994</v>
      </c>
      <c r="M288">
        <f>K288-L288</f>
        <v>-48044.023299999884</v>
      </c>
    </row>
    <row r="289" spans="4:13">
      <c r="D289">
        <v>37324.230000000003</v>
      </c>
      <c r="E289">
        <v>5957</v>
      </c>
      <c r="F289">
        <v>85.9</v>
      </c>
      <c r="G289">
        <v>0</v>
      </c>
      <c r="H289">
        <v>0</v>
      </c>
      <c r="I289">
        <v>0</v>
      </c>
      <c r="K289">
        <v>570963.31000000006</v>
      </c>
      <c r="L289">
        <f>131500+1.186*D289+33.87*E289+2818.21*F289+10550*G289+21940*H289+17490*I289</f>
        <v>619614.36577999999</v>
      </c>
      <c r="M289">
        <f>K289-L289</f>
        <v>-48651.055779999937</v>
      </c>
    </row>
    <row r="290" spans="4:13">
      <c r="D290">
        <v>70389.11</v>
      </c>
      <c r="E290">
        <v>8302</v>
      </c>
      <c r="F290">
        <v>75</v>
      </c>
      <c r="G290">
        <v>0</v>
      </c>
      <c r="H290">
        <v>0</v>
      </c>
      <c r="I290">
        <v>0</v>
      </c>
      <c r="K290">
        <v>658832.62</v>
      </c>
      <c r="L290">
        <f>131500+1.186*D290+33.87*E290+2818.21*F290+10550*G290+21940*H290+17490*I290</f>
        <v>707535.97445999994</v>
      </c>
      <c r="M290">
        <f>K290-L290</f>
        <v>-48703.354459999944</v>
      </c>
    </row>
    <row r="291" spans="4:13">
      <c r="D291">
        <v>55716.82</v>
      </c>
      <c r="E291">
        <v>10054</v>
      </c>
      <c r="F291">
        <v>84.9</v>
      </c>
      <c r="G291">
        <v>0</v>
      </c>
      <c r="H291">
        <v>0</v>
      </c>
      <c r="I291">
        <v>0</v>
      </c>
      <c r="K291">
        <v>726606.28</v>
      </c>
      <c r="L291">
        <f>131500+1.186*D291+33.87*E291+2818.21*F291+10550*G291+21940*H291+17490*I291</f>
        <v>777375.15752000001</v>
      </c>
      <c r="M291">
        <f>K291-L291</f>
        <v>-50768.87751999998</v>
      </c>
    </row>
    <row r="292" spans="4:13">
      <c r="D292">
        <v>19063.48</v>
      </c>
      <c r="E292">
        <v>1906</v>
      </c>
      <c r="F292">
        <v>97.8</v>
      </c>
      <c r="G292">
        <v>0</v>
      </c>
      <c r="H292">
        <v>0</v>
      </c>
      <c r="I292">
        <v>0</v>
      </c>
      <c r="K292">
        <v>441275.42</v>
      </c>
      <c r="L292">
        <f>131500+1.186*D292+33.87*E292+2818.21*F292+10550*G292+21940*H292+17490*I292</f>
        <v>494286.44527999999</v>
      </c>
      <c r="M292">
        <f>K292-L292</f>
        <v>-53011.025280000002</v>
      </c>
    </row>
    <row r="293" spans="4:13">
      <c r="D293">
        <v>46495.4</v>
      </c>
      <c r="E293">
        <v>9908</v>
      </c>
      <c r="F293">
        <v>89.4</v>
      </c>
      <c r="G293">
        <v>0</v>
      </c>
      <c r="H293">
        <v>0</v>
      </c>
      <c r="I293">
        <v>0</v>
      </c>
      <c r="K293">
        <v>721079.35</v>
      </c>
      <c r="L293">
        <f>131500+1.186*D293+33.87*E293+2818.21*F293+10550*G293+21940*H293+17490*I293</f>
        <v>774175.47840000002</v>
      </c>
      <c r="M293">
        <f>K293-L293</f>
        <v>-53096.128400000045</v>
      </c>
    </row>
    <row r="294" spans="4:13">
      <c r="D294">
        <v>37983.35</v>
      </c>
      <c r="E294">
        <v>9283</v>
      </c>
      <c r="F294">
        <v>83.2</v>
      </c>
      <c r="G294">
        <v>0</v>
      </c>
      <c r="H294">
        <v>0</v>
      </c>
      <c r="I294">
        <v>0</v>
      </c>
      <c r="K294">
        <v>671868.59</v>
      </c>
      <c r="L294">
        <f>131500+1.186*D294+33.87*E294+2818.21*F294+10550*G294+21940*H294+17490*I294</f>
        <v>725438.53509999998</v>
      </c>
      <c r="M294">
        <f>K294-L294</f>
        <v>-53569.945100000012</v>
      </c>
    </row>
    <row r="295" spans="4:13">
      <c r="D295">
        <v>73771.91</v>
      </c>
      <c r="E295">
        <v>11695</v>
      </c>
      <c r="F295">
        <v>84.7</v>
      </c>
      <c r="G295">
        <v>0</v>
      </c>
      <c r="H295">
        <v>0</v>
      </c>
      <c r="I295">
        <v>0</v>
      </c>
      <c r="K295">
        <v>799477.76000000001</v>
      </c>
      <c r="L295">
        <f>131500+1.186*D295+33.87*E295+2818.21*F295+10550*G295+21940*H295+17490*I295</f>
        <v>853805.52225999988</v>
      </c>
      <c r="M295">
        <f>K295-L295</f>
        <v>-54327.762259999872</v>
      </c>
    </row>
    <row r="296" spans="4:13">
      <c r="D296">
        <v>76614.320000000007</v>
      </c>
      <c r="E296">
        <v>5639</v>
      </c>
      <c r="F296">
        <v>92.9</v>
      </c>
      <c r="G296">
        <v>0</v>
      </c>
      <c r="H296">
        <v>0</v>
      </c>
      <c r="I296">
        <v>0</v>
      </c>
      <c r="K296">
        <v>620264.19999999995</v>
      </c>
      <c r="L296">
        <f>131500+1.186*D296+33.87*E296+2818.21*F296+10550*G296+21940*H296+17490*I296</f>
        <v>675169.22252000007</v>
      </c>
      <c r="M296">
        <f>K296-L296</f>
        <v>-54905.022520000115</v>
      </c>
    </row>
    <row r="297" spans="4:13">
      <c r="D297">
        <v>50735.63</v>
      </c>
      <c r="E297">
        <v>9619</v>
      </c>
      <c r="F297">
        <v>93.8</v>
      </c>
      <c r="G297">
        <v>0</v>
      </c>
      <c r="H297">
        <v>0</v>
      </c>
      <c r="I297">
        <v>0</v>
      </c>
      <c r="K297">
        <v>725235.28</v>
      </c>
      <c r="L297">
        <f>131500+1.186*D297+33.87*E297+2818.21*F297+10550*G297+21940*H297+17490*I297</f>
        <v>781816.08517999994</v>
      </c>
      <c r="M297">
        <f>K297-L297</f>
        <v>-56580.805179999908</v>
      </c>
    </row>
    <row r="298" spans="4:13">
      <c r="D298">
        <v>42415.47</v>
      </c>
      <c r="E298">
        <v>8512</v>
      </c>
      <c r="F298">
        <v>96.8</v>
      </c>
      <c r="G298">
        <v>0</v>
      </c>
      <c r="H298">
        <v>0</v>
      </c>
      <c r="I298">
        <v>0</v>
      </c>
      <c r="K298">
        <v>684217.32</v>
      </c>
      <c r="L298">
        <f>131500+1.186*D298+33.87*E298+2818.21*F298+10550*G298+21940*H298+17490*I298</f>
        <v>742908.91541999998</v>
      </c>
      <c r="M298">
        <f>K298-L298</f>
        <v>-58691.595420000027</v>
      </c>
    </row>
    <row r="299" spans="4:13">
      <c r="D299">
        <v>24362.98</v>
      </c>
      <c r="E299">
        <v>1462</v>
      </c>
      <c r="F299">
        <v>89.3</v>
      </c>
      <c r="G299">
        <v>0</v>
      </c>
      <c r="H299">
        <v>0</v>
      </c>
      <c r="I299">
        <v>0</v>
      </c>
      <c r="K299">
        <v>401582.58</v>
      </c>
      <c r="L299">
        <f>131500+1.186*D299+33.87*E299+2818.21*F299+10550*G299+21940*H299+17490*I299</f>
        <v>461578.58727999998</v>
      </c>
      <c r="M299">
        <f>K299-L299</f>
        <v>-59996.007279999962</v>
      </c>
    </row>
    <row r="300" spans="4:13">
      <c r="D300">
        <v>53762.92</v>
      </c>
      <c r="E300">
        <v>6821</v>
      </c>
      <c r="F300">
        <v>94.6</v>
      </c>
      <c r="G300">
        <v>0</v>
      </c>
      <c r="H300">
        <v>0</v>
      </c>
      <c r="I300">
        <v>0</v>
      </c>
      <c r="K300">
        <v>630829.93999999994</v>
      </c>
      <c r="L300">
        <f>131500+1.186*D300+33.87*E300+2818.21*F300+10550*G300+21940*H300+17490*I300</f>
        <v>692892.75911999994</v>
      </c>
      <c r="M300">
        <f>K300-L300</f>
        <v>-62062.81912</v>
      </c>
    </row>
    <row r="301" spans="4:13">
      <c r="D301">
        <v>56413.83</v>
      </c>
      <c r="E301">
        <v>8303</v>
      </c>
      <c r="F301">
        <v>93.6</v>
      </c>
      <c r="G301">
        <v>0</v>
      </c>
      <c r="H301">
        <v>0</v>
      </c>
      <c r="I301">
        <v>0</v>
      </c>
      <c r="K301">
        <v>675917.63</v>
      </c>
      <c r="L301">
        <f>131500+1.186*D301+33.87*E301+2818.21*F301+10550*G301+21940*H301+17490*I301</f>
        <v>743413.86838</v>
      </c>
      <c r="M301">
        <f>K301-L301</f>
        <v>-67496.238379999995</v>
      </c>
    </row>
    <row r="302" spans="4:13">
      <c r="D302">
        <v>61784.11</v>
      </c>
      <c r="E302">
        <v>8564</v>
      </c>
      <c r="F302">
        <v>87.4</v>
      </c>
      <c r="G302">
        <v>0</v>
      </c>
      <c r="H302">
        <v>0</v>
      </c>
      <c r="I302">
        <v>0</v>
      </c>
      <c r="K302">
        <v>673076.34</v>
      </c>
      <c r="L302">
        <f>131500+1.186*D302+33.87*E302+2818.21*F302+10550*G302+21940*H302+17490*I302</f>
        <v>741150.18845999998</v>
      </c>
      <c r="M302">
        <f>K302-L302</f>
        <v>-68073.848460000008</v>
      </c>
    </row>
    <row r="303" spans="4:13">
      <c r="D303">
        <v>29344.93</v>
      </c>
      <c r="E303">
        <v>7446</v>
      </c>
      <c r="F303">
        <v>86.2</v>
      </c>
      <c r="G303">
        <v>0</v>
      </c>
      <c r="H303">
        <v>0</v>
      </c>
      <c r="I303">
        <v>0</v>
      </c>
      <c r="K303">
        <v>593343</v>
      </c>
      <c r="L303">
        <f>131500+1.186*D303+33.87*E303+2818.21*F303+10550*G303+21940*H303+17490*I303</f>
        <v>661428.80897999997</v>
      </c>
      <c r="M303">
        <f>K303-L303</f>
        <v>-68085.808979999973</v>
      </c>
    </row>
    <row r="304" spans="4:13">
      <c r="D304">
        <v>48752.92</v>
      </c>
      <c r="E304">
        <v>8052</v>
      </c>
      <c r="F304">
        <v>94.9</v>
      </c>
      <c r="G304">
        <v>0</v>
      </c>
      <c r="H304">
        <v>0</v>
      </c>
      <c r="I304">
        <v>0</v>
      </c>
      <c r="K304">
        <v>660633.99</v>
      </c>
      <c r="L304">
        <f>131500+1.186*D304+33.87*E304+2818.21*F304+10550*G304+21940*H304+17490*I304</f>
        <v>729490.33211999992</v>
      </c>
      <c r="M304">
        <f>K304-L304</f>
        <v>-68856.342119999928</v>
      </c>
    </row>
    <row r="305" spans="4:13">
      <c r="D305">
        <v>71320.66</v>
      </c>
      <c r="E305">
        <v>7888</v>
      </c>
      <c r="F305">
        <v>78.099999999999994</v>
      </c>
      <c r="G305">
        <v>0</v>
      </c>
      <c r="H305">
        <v>0</v>
      </c>
      <c r="I305">
        <v>0</v>
      </c>
      <c r="K305">
        <v>633638.03</v>
      </c>
      <c r="L305">
        <f>131500+1.186*D305+33.87*E305+2818.21*F305+10550*G305+21940*H305+17490*I305</f>
        <v>703355.06376000005</v>
      </c>
      <c r="M305">
        <f>K305-L305</f>
        <v>-69717.03376000002</v>
      </c>
    </row>
    <row r="306" spans="4:13">
      <c r="D306">
        <v>32834.480000000003</v>
      </c>
      <c r="E306">
        <v>7576</v>
      </c>
      <c r="F306">
        <v>84.1</v>
      </c>
      <c r="G306">
        <v>0</v>
      </c>
      <c r="H306">
        <v>0</v>
      </c>
      <c r="I306">
        <v>0</v>
      </c>
      <c r="K306">
        <v>593637.14</v>
      </c>
      <c r="L306">
        <f>131500+1.186*D306+33.87*E306+2818.21*F306+10550*G306+21940*H306+17490*I306</f>
        <v>664052.27428000001</v>
      </c>
      <c r="M306">
        <f>K306-L306</f>
        <v>-70415.134279999998</v>
      </c>
    </row>
    <row r="307" spans="4:13">
      <c r="D307">
        <v>69816.350000000006</v>
      </c>
      <c r="E307">
        <v>971</v>
      </c>
      <c r="F307">
        <v>89.9</v>
      </c>
      <c r="G307">
        <v>0</v>
      </c>
      <c r="H307">
        <v>0</v>
      </c>
      <c r="I307">
        <v>0</v>
      </c>
      <c r="K307">
        <v>427917.38</v>
      </c>
      <c r="L307">
        <f>131500+1.186*D307+33.87*E307+2818.21*F307+10550*G307+21940*H307+17490*I307</f>
        <v>500547.04009999998</v>
      </c>
      <c r="M307">
        <f>K307-L307</f>
        <v>-72629.660099999979</v>
      </c>
    </row>
    <row r="308" spans="4:13">
      <c r="D308">
        <v>43827.89</v>
      </c>
      <c r="E308">
        <v>8487</v>
      </c>
      <c r="F308">
        <v>84.4</v>
      </c>
      <c r="G308">
        <v>0</v>
      </c>
      <c r="H308">
        <v>0</v>
      </c>
      <c r="I308">
        <v>0</v>
      </c>
      <c r="K308">
        <v>634436</v>
      </c>
      <c r="L308">
        <f>131500+1.186*D308+33.87*E308+2818.21*F308+10550*G308+21940*H308+17490*I308</f>
        <v>708791.49153999996</v>
      </c>
      <c r="M308">
        <f>K308-L308</f>
        <v>-74355.491539999959</v>
      </c>
    </row>
    <row r="309" spans="4:13">
      <c r="D309">
        <v>62949.7</v>
      </c>
      <c r="E309">
        <v>9458</v>
      </c>
      <c r="F309">
        <v>84.9</v>
      </c>
      <c r="G309">
        <v>0</v>
      </c>
      <c r="H309">
        <v>0</v>
      </c>
      <c r="I309">
        <v>0</v>
      </c>
      <c r="K309">
        <v>691288.19</v>
      </c>
      <c r="L309">
        <f>131500+1.186*D309+33.87*E309+2818.21*F309+10550*G309+21940*H309+17490*I309</f>
        <v>765766.83319999988</v>
      </c>
      <c r="M309">
        <f>K309-L309</f>
        <v>-74478.643199999933</v>
      </c>
    </row>
    <row r="310" spans="4:13">
      <c r="D310">
        <v>68600.62</v>
      </c>
      <c r="E310">
        <v>3988</v>
      </c>
      <c r="F310">
        <v>85</v>
      </c>
      <c r="G310">
        <v>0</v>
      </c>
      <c r="H310">
        <v>0</v>
      </c>
      <c r="I310">
        <v>0</v>
      </c>
      <c r="K310">
        <v>511844.41</v>
      </c>
      <c r="L310">
        <f>131500+1.186*D310+33.87*E310+2818.21*F310+10550*G310+21940*H310+17490*I310</f>
        <v>587481.74531999999</v>
      </c>
      <c r="M310">
        <f>K310-L310</f>
        <v>-75637.335320000013</v>
      </c>
    </row>
    <row r="311" spans="4:13">
      <c r="D311">
        <v>41657.64</v>
      </c>
      <c r="E311">
        <v>3135</v>
      </c>
      <c r="F311">
        <v>85.4</v>
      </c>
      <c r="G311">
        <v>0</v>
      </c>
      <c r="H311">
        <v>0</v>
      </c>
      <c r="I311">
        <v>0</v>
      </c>
      <c r="K311">
        <v>449465.06</v>
      </c>
      <c r="L311">
        <f>131500+1.186*D311+33.87*E311+2818.21*F311+10550*G311+21940*H311+17490*I311</f>
        <v>527763.54504</v>
      </c>
      <c r="M311">
        <f>K311-L311</f>
        <v>-78298.48504</v>
      </c>
    </row>
    <row r="312" spans="4:13">
      <c r="D312">
        <v>53015.46</v>
      </c>
      <c r="E312">
        <v>3279</v>
      </c>
      <c r="F312">
        <v>84.3</v>
      </c>
      <c r="G312">
        <v>0</v>
      </c>
      <c r="H312">
        <v>0</v>
      </c>
      <c r="I312">
        <v>0</v>
      </c>
      <c r="K312">
        <v>463534.25</v>
      </c>
      <c r="L312">
        <f>131500+1.186*D312+33.87*E312+2818.21*F312+10550*G312+21940*H312+17490*I312</f>
        <v>543011.16856000002</v>
      </c>
      <c r="M312">
        <f>K312-L312</f>
        <v>-79476.91856000002</v>
      </c>
    </row>
    <row r="313" spans="4:13">
      <c r="D313">
        <v>59921.75</v>
      </c>
      <c r="E313">
        <v>9113</v>
      </c>
      <c r="F313">
        <v>88</v>
      </c>
      <c r="G313">
        <v>0</v>
      </c>
      <c r="H313">
        <v>0</v>
      </c>
      <c r="I313">
        <v>0</v>
      </c>
      <c r="K313">
        <v>678722.06</v>
      </c>
      <c r="L313">
        <f>131500+1.186*D313+33.87*E313+2818.21*F313+10550*G313+21940*H313+17490*I313</f>
        <v>759226.98549999995</v>
      </c>
      <c r="M313">
        <f>K313-L313</f>
        <v>-80504.925499999896</v>
      </c>
    </row>
    <row r="314" spans="4:13">
      <c r="D314">
        <v>172415.52</v>
      </c>
      <c r="E314">
        <v>8927</v>
      </c>
      <c r="F314">
        <v>86.2</v>
      </c>
      <c r="G314">
        <v>0</v>
      </c>
      <c r="H314">
        <v>0</v>
      </c>
      <c r="I314">
        <v>0</v>
      </c>
      <c r="K314">
        <v>800451.94</v>
      </c>
      <c r="L314">
        <f>131500+1.186*D314+33.87*E314+2818.21*F314+10550*G314+21940*H314+17490*I314</f>
        <v>881271.99872000003</v>
      </c>
      <c r="M314">
        <f>K314-L314</f>
        <v>-80820.058720000088</v>
      </c>
    </row>
    <row r="315" spans="4:13">
      <c r="D315">
        <v>30356.28</v>
      </c>
      <c r="E315">
        <v>2822</v>
      </c>
      <c r="F315">
        <v>84.8</v>
      </c>
      <c r="G315">
        <v>0</v>
      </c>
      <c r="H315">
        <v>0</v>
      </c>
      <c r="I315">
        <v>0</v>
      </c>
      <c r="K315">
        <v>415721.82</v>
      </c>
      <c r="L315">
        <f>131500+1.186*D315+33.87*E315+2818.21*F315+10550*G315+21940*H315+17490*I315</f>
        <v>502067.89607999998</v>
      </c>
      <c r="M315">
        <f>K315-L315</f>
        <v>-86346.07607999997</v>
      </c>
    </row>
    <row r="316" spans="4:13">
      <c r="D316">
        <v>46146.239999999998</v>
      </c>
      <c r="E316">
        <v>5804</v>
      </c>
      <c r="F316">
        <v>86.9</v>
      </c>
      <c r="G316">
        <v>0</v>
      </c>
      <c r="H316">
        <v>0</v>
      </c>
      <c r="I316">
        <v>0</v>
      </c>
      <c r="K316">
        <v>538376</v>
      </c>
      <c r="L316">
        <f>131500+1.186*D316+33.87*E316+2818.21*F316+10550*G316+21940*H316+17490*I316</f>
        <v>627713.36963999993</v>
      </c>
      <c r="M316">
        <f>K316-L316</f>
        <v>-89337.369639999932</v>
      </c>
    </row>
    <row r="317" spans="4:13">
      <c r="D317">
        <v>141540.29</v>
      </c>
      <c r="E317">
        <v>5400</v>
      </c>
      <c r="F317">
        <v>87</v>
      </c>
      <c r="G317">
        <v>0</v>
      </c>
      <c r="H317">
        <v>0</v>
      </c>
      <c r="I317">
        <v>0</v>
      </c>
      <c r="K317">
        <v>627171.9</v>
      </c>
      <c r="L317">
        <f>131500+1.186*D317+33.87*E317+2818.21*F317+10550*G317+21940*H317+17490*I317</f>
        <v>727449.05394000001</v>
      </c>
      <c r="M317" s="11">
        <f>K317-L317</f>
        <v>-100277.15393999999</v>
      </c>
    </row>
    <row r="318" spans="4:13">
      <c r="D318">
        <v>56856.63</v>
      </c>
      <c r="E318">
        <v>9431</v>
      </c>
      <c r="F318">
        <v>86.9</v>
      </c>
      <c r="G318">
        <v>0</v>
      </c>
      <c r="H318">
        <v>0</v>
      </c>
      <c r="I318">
        <v>0</v>
      </c>
      <c r="K318">
        <v>658920.30000000005</v>
      </c>
      <c r="L318">
        <f>131500+1.186*D318+33.87*E318+2818.21*F318+10550*G318+21940*H318+17490*I318</f>
        <v>763262.38217999996</v>
      </c>
      <c r="M318" s="11">
        <f>K318-L318</f>
        <v>-104342.08217999991</v>
      </c>
    </row>
    <row r="319" spans="4:13">
      <c r="D319">
        <v>54597.83</v>
      </c>
      <c r="E319">
        <v>9429</v>
      </c>
      <c r="F319">
        <v>83.3</v>
      </c>
      <c r="G319">
        <v>0</v>
      </c>
      <c r="H319">
        <v>0</v>
      </c>
      <c r="I319">
        <v>0</v>
      </c>
      <c r="K319">
        <v>641865.03</v>
      </c>
      <c r="L319">
        <f>131500+1.186*D319+33.87*E319+2818.21*F319+10550*G319+21940*H319+17490*I319</f>
        <v>750370.14937999996</v>
      </c>
      <c r="M319" s="11">
        <f>K319-L319</f>
        <v>-108505.11937999993</v>
      </c>
    </row>
    <row r="320" spans="4:13">
      <c r="D320">
        <v>138855.51</v>
      </c>
      <c r="E320">
        <v>5145</v>
      </c>
      <c r="F320">
        <v>88.2</v>
      </c>
      <c r="G320">
        <v>0</v>
      </c>
      <c r="H320">
        <v>0</v>
      </c>
      <c r="I320">
        <v>0</v>
      </c>
      <c r="K320">
        <v>595467.6</v>
      </c>
      <c r="L320">
        <f>131500+1.186*D320+33.87*E320+2818.21*F320+10550*G320+21940*H320+17490*I320</f>
        <v>719009.90685999999</v>
      </c>
      <c r="M320" s="11">
        <f>K320-L320</f>
        <v>-123542.30686000001</v>
      </c>
    </row>
    <row r="321" spans="4:13">
      <c r="D321">
        <v>79346.100000000006</v>
      </c>
      <c r="E321">
        <v>9628</v>
      </c>
      <c r="F321">
        <v>99</v>
      </c>
      <c r="G321">
        <v>0</v>
      </c>
      <c r="H321">
        <v>0</v>
      </c>
      <c r="I321">
        <v>0</v>
      </c>
      <c r="K321">
        <v>685379.08</v>
      </c>
      <c r="L321">
        <f>131500+1.186*D321+33.87*E321+2818.21*F321+10550*G321+21940*H321+17490*I321</f>
        <v>830707.62459999998</v>
      </c>
      <c r="M321" s="11">
        <f>K321-L321</f>
        <v>-145328.54460000002</v>
      </c>
    </row>
  </sheetData>
  <sortState ref="D1:M326">
    <sortCondition descending="1" ref="M1:M3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B17" sqref="A1:N321"/>
    </sheetView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5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5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5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5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5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5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5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5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5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5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5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5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5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5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5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5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5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5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5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5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5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5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5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5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5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5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5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5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5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5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5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5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5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5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30</v>
      </c>
      <c r="B36" s="5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5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5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5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5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5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5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5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5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5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5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5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5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5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5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5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5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5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5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5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5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5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5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5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5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5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5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5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5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5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5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5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5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5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5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5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5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5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5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5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5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5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5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5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5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5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5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5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5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5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5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5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43</v>
      </c>
      <c r="B88" s="5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5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5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5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5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5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5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5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5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5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5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5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5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5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5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5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5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5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5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5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5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5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5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5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5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5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5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5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5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5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5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5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5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5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5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5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5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5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5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5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5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5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5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5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5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5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5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5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55</v>
      </c>
      <c r="B136" s="5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5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5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56</v>
      </c>
      <c r="B139" s="5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5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5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5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5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5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5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5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5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5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5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5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5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5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5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5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5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5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5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5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5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5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5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5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5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5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5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5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5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5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5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5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5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5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5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5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5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5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5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5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5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5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5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5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5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5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5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5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5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5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5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5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5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5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5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5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5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5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5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71</v>
      </c>
      <c r="B198" s="5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5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5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5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5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5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5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5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5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5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5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5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5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5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5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5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5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5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5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5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5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5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5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5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5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5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5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5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5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5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5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5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79</v>
      </c>
      <c r="B230" s="5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5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5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5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5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5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5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5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5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5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5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5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5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5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5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5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5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5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5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5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5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5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5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5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5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5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5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5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5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5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5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5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5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5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5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5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5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5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5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5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5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5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5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5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5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5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5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5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5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5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5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5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5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5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5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5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5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5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5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5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5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5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5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5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5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5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5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5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5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5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5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5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5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5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5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5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5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5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5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5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5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5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5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5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100</v>
      </c>
      <c r="B314" s="5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5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100</v>
      </c>
      <c r="B316" s="5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5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5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5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5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101</v>
      </c>
      <c r="B321" s="5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6CEF-709E-45A6-985B-C4C320091584}">
  <dimension ref="A1:I23"/>
  <sheetViews>
    <sheetView zoomScale="90" zoomScaleNormal="90" workbookViewId="0">
      <selection activeCell="C17" sqref="C17"/>
    </sheetView>
  </sheetViews>
  <sheetFormatPr defaultRowHeight="14"/>
  <cols>
    <col min="2" max="2" width="12.4140625" customWidth="1"/>
  </cols>
  <sheetData>
    <row r="1" spans="1:9">
      <c r="A1" t="s">
        <v>123</v>
      </c>
    </row>
    <row r="2" spans="1:9" ht="14.5" thickBot="1"/>
    <row r="3" spans="1:9" ht="14.5">
      <c r="A3" s="10" t="s">
        <v>124</v>
      </c>
      <c r="B3" s="10"/>
    </row>
    <row r="4" spans="1:9">
      <c r="A4" s="7" t="s">
        <v>125</v>
      </c>
      <c r="B4" s="7">
        <v>0.89767386880423106</v>
      </c>
    </row>
    <row r="5" spans="1:9">
      <c r="A5" s="7" t="s">
        <v>126</v>
      </c>
      <c r="B5" s="7">
        <v>0.8058183747339559</v>
      </c>
    </row>
    <row r="6" spans="1:9">
      <c r="A6" s="7" t="s">
        <v>127</v>
      </c>
      <c r="B6" s="7">
        <v>0.80209604325920736</v>
      </c>
    </row>
    <row r="7" spans="1:9">
      <c r="A7" s="7" t="s">
        <v>128</v>
      </c>
      <c r="B7" s="7">
        <v>46164.265154172128</v>
      </c>
    </row>
    <row r="8" spans="1:9" ht="14.5" thickBot="1">
      <c r="A8" s="8" t="s">
        <v>129</v>
      </c>
      <c r="B8" s="8">
        <v>320</v>
      </c>
    </row>
    <row r="10" spans="1:9" ht="14.5" thickBot="1">
      <c r="A10" t="s">
        <v>130</v>
      </c>
    </row>
    <row r="11" spans="1:9" ht="14.5">
      <c r="A11" s="9"/>
      <c r="B11" s="9" t="s">
        <v>135</v>
      </c>
      <c r="C11" s="9" t="s">
        <v>136</v>
      </c>
      <c r="D11" s="9" t="s">
        <v>137</v>
      </c>
      <c r="E11" s="9" t="s">
        <v>138</v>
      </c>
      <c r="F11" s="9" t="s">
        <v>139</v>
      </c>
    </row>
    <row r="12" spans="1:9">
      <c r="A12" s="7" t="s">
        <v>131</v>
      </c>
      <c r="B12" s="7">
        <v>6</v>
      </c>
      <c r="C12" s="7">
        <v>2768121991719.4048</v>
      </c>
      <c r="D12" s="7">
        <v>461353665286.56744</v>
      </c>
      <c r="E12" s="7">
        <v>216.48216452523531</v>
      </c>
      <c r="F12" s="7">
        <v>3.2708128936533486E-108</v>
      </c>
    </row>
    <row r="13" spans="1:9">
      <c r="A13" s="7" t="s">
        <v>132</v>
      </c>
      <c r="B13" s="7">
        <v>313</v>
      </c>
      <c r="C13" s="7">
        <v>667046625071.33459</v>
      </c>
      <c r="D13" s="7">
        <v>2131139377.2247112</v>
      </c>
      <c r="E13" s="7"/>
      <c r="F13" s="7"/>
    </row>
    <row r="14" spans="1:9" ht="14.5" thickBot="1">
      <c r="A14" s="8" t="s">
        <v>133</v>
      </c>
      <c r="B14" s="8">
        <v>319</v>
      </c>
      <c r="C14" s="8">
        <v>3435168616790.7393</v>
      </c>
      <c r="D14" s="8"/>
      <c r="E14" s="8"/>
      <c r="F14" s="8"/>
    </row>
    <row r="15" spans="1:9" ht="14.5" thickBot="1"/>
    <row r="16" spans="1:9" ht="14.5">
      <c r="A16" s="9"/>
      <c r="B16" s="9" t="s">
        <v>140</v>
      </c>
      <c r="C16" s="9" t="s">
        <v>128</v>
      </c>
      <c r="D16" s="9" t="s">
        <v>141</v>
      </c>
      <c r="E16" s="9" t="s">
        <v>142</v>
      </c>
      <c r="F16" s="9" t="s">
        <v>143</v>
      </c>
      <c r="G16" s="9" t="s">
        <v>144</v>
      </c>
      <c r="H16" s="9" t="s">
        <v>145</v>
      </c>
      <c r="I16" s="9" t="s">
        <v>146</v>
      </c>
    </row>
    <row r="17" spans="1:9">
      <c r="A17" s="7" t="s">
        <v>134</v>
      </c>
      <c r="B17" s="7">
        <v>135411.09468896425</v>
      </c>
      <c r="C17" s="7">
        <v>44099.032257100174</v>
      </c>
      <c r="D17" s="7">
        <v>3.0706137472475343</v>
      </c>
      <c r="E17" s="7">
        <v>2.323465030158301E-3</v>
      </c>
      <c r="F17" s="7">
        <v>48643.072733491674</v>
      </c>
      <c r="G17" s="7">
        <v>222179.11664443684</v>
      </c>
      <c r="H17" s="7">
        <v>48643.072733491674</v>
      </c>
      <c r="I17" s="7">
        <v>222179.11664443684</v>
      </c>
    </row>
    <row r="18" spans="1:9">
      <c r="A18" s="7" t="s">
        <v>147</v>
      </c>
      <c r="B18" s="7">
        <v>1.1762782190425802</v>
      </c>
      <c r="C18" s="7">
        <v>0.13353780848358593</v>
      </c>
      <c r="D18" s="7">
        <v>8.8085781277979027</v>
      </c>
      <c r="E18" s="7">
        <v>8.862011266189943E-17</v>
      </c>
      <c r="F18" s="7">
        <v>0.91353296352682145</v>
      </c>
      <c r="G18" s="7">
        <v>1.439023474558339</v>
      </c>
      <c r="H18" s="7">
        <v>0.91353296352682145</v>
      </c>
      <c r="I18" s="7">
        <v>1.439023474558339</v>
      </c>
    </row>
    <row r="19" spans="1:9">
      <c r="A19" s="7" t="s">
        <v>148</v>
      </c>
      <c r="B19" s="7">
        <v>33.673658203203679</v>
      </c>
      <c r="C19" s="7">
        <v>1.0656532508377718</v>
      </c>
      <c r="D19" s="7">
        <v>31.599076131688111</v>
      </c>
      <c r="E19" s="7">
        <v>2.1600660426035331E-99</v>
      </c>
      <c r="F19" s="7">
        <v>31.576908684381184</v>
      </c>
      <c r="G19" s="7">
        <v>35.770407722026178</v>
      </c>
      <c r="H19" s="7">
        <v>31.576908684381184</v>
      </c>
      <c r="I19" s="7">
        <v>35.770407722026178</v>
      </c>
    </row>
    <row r="20" spans="1:9">
      <c r="A20" s="7" t="s">
        <v>149</v>
      </c>
      <c r="B20" s="7">
        <v>2921.6749819431116</v>
      </c>
      <c r="C20" s="7">
        <v>483.00090961605576</v>
      </c>
      <c r="D20" s="7">
        <v>6.0490051338942452</v>
      </c>
      <c r="E20" s="7">
        <v>4.1537855487177615E-9</v>
      </c>
      <c r="F20" s="7">
        <v>1971.3359067963643</v>
      </c>
      <c r="G20" s="7">
        <v>3872.0140570898589</v>
      </c>
      <c r="H20" s="7">
        <v>1971.3359067963643</v>
      </c>
      <c r="I20" s="7">
        <v>3872.0140570898589</v>
      </c>
    </row>
    <row r="21" spans="1:9">
      <c r="A21" s="7" t="s">
        <v>150</v>
      </c>
      <c r="B21" s="7">
        <v>0</v>
      </c>
      <c r="C21" s="7">
        <v>0</v>
      </c>
      <c r="D21" s="7">
        <v>65535</v>
      </c>
      <c r="E21" s="7" t="e">
        <v>#NUM!</v>
      </c>
      <c r="F21" s="7">
        <v>0</v>
      </c>
      <c r="G21" s="7">
        <v>0</v>
      </c>
      <c r="H21" s="7">
        <v>0</v>
      </c>
      <c r="I21" s="7">
        <v>0</v>
      </c>
    </row>
    <row r="22" spans="1:9">
      <c r="A22" s="7" t="s">
        <v>151</v>
      </c>
      <c r="B22" s="7">
        <v>0</v>
      </c>
      <c r="C22" s="7">
        <v>0</v>
      </c>
      <c r="D22" s="7">
        <v>65535</v>
      </c>
      <c r="E22" s="7" t="e">
        <v>#NUM!</v>
      </c>
      <c r="F22" s="7">
        <v>0</v>
      </c>
      <c r="G22" s="7">
        <v>0</v>
      </c>
      <c r="H22" s="7">
        <v>0</v>
      </c>
      <c r="I22" s="7">
        <v>0</v>
      </c>
    </row>
    <row r="23" spans="1:9" ht="14.5" thickBot="1">
      <c r="A23" s="8" t="s">
        <v>152</v>
      </c>
      <c r="B23" s="8">
        <v>0</v>
      </c>
      <c r="C23" s="8">
        <v>0</v>
      </c>
      <c r="D23" s="8">
        <v>65535</v>
      </c>
      <c r="E23" s="8" t="e">
        <v>#NUM!</v>
      </c>
      <c r="F23" s="8">
        <v>0</v>
      </c>
      <c r="G23" s="8">
        <v>0</v>
      </c>
      <c r="H23" s="8">
        <v>0</v>
      </c>
      <c r="I23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1F9C-31AD-4637-BA1E-E9D71E0AEEA9}">
  <dimension ref="A1:I18"/>
  <sheetViews>
    <sheetView workbookViewId="0">
      <selection activeCell="B8" sqref="B8"/>
    </sheetView>
  </sheetViews>
  <sheetFormatPr defaultRowHeight="14"/>
  <cols>
    <col min="1" max="1" width="16.83203125" customWidth="1"/>
    <col min="2" max="2" width="12.33203125" customWidth="1"/>
    <col min="3" max="3" width="15" customWidth="1"/>
    <col min="6" max="6" width="10.9140625" customWidth="1"/>
  </cols>
  <sheetData>
    <row r="1" spans="1:9">
      <c r="A1" t="s">
        <v>123</v>
      </c>
    </row>
    <row r="2" spans="1:9" ht="14.5" thickBot="1"/>
    <row r="3" spans="1:9" ht="14.5">
      <c r="A3" s="10" t="s">
        <v>124</v>
      </c>
      <c r="B3" s="10"/>
    </row>
    <row r="4" spans="1:9">
      <c r="A4" s="7" t="s">
        <v>125</v>
      </c>
      <c r="B4" s="7">
        <v>0.40895561021322352</v>
      </c>
    </row>
    <row r="5" spans="1:9">
      <c r="A5" s="7" t="s">
        <v>126</v>
      </c>
      <c r="B5" s="7">
        <v>0.16724469112487</v>
      </c>
    </row>
    <row r="6" spans="1:9">
      <c r="A6" s="7" t="s">
        <v>127</v>
      </c>
      <c r="B6" s="7">
        <v>0.16462596373847024</v>
      </c>
    </row>
    <row r="7" spans="1:9">
      <c r="A7" s="7" t="s">
        <v>128</v>
      </c>
      <c r="B7" s="7">
        <v>94846.03383215853</v>
      </c>
    </row>
    <row r="8" spans="1:9" ht="14.5" thickBot="1">
      <c r="A8" s="8" t="s">
        <v>129</v>
      </c>
      <c r="B8" s="8">
        <v>320</v>
      </c>
    </row>
    <row r="10" spans="1:9" ht="14.5" thickBot="1">
      <c r="A10" t="s">
        <v>130</v>
      </c>
    </row>
    <row r="11" spans="1:9" ht="14.5">
      <c r="A11" s="9"/>
      <c r="B11" s="9" t="s">
        <v>135</v>
      </c>
      <c r="C11" s="9" t="s">
        <v>136</v>
      </c>
      <c r="D11" s="9" t="s">
        <v>137</v>
      </c>
      <c r="E11" s="9" t="s">
        <v>138</v>
      </c>
      <c r="F11" s="9" t="s">
        <v>139</v>
      </c>
    </row>
    <row r="12" spans="1:9">
      <c r="A12" s="7" t="s">
        <v>131</v>
      </c>
      <c r="B12" s="7">
        <v>1</v>
      </c>
      <c r="C12" s="7">
        <v>574513714277.01416</v>
      </c>
      <c r="D12" s="7">
        <v>574513714277.01416</v>
      </c>
      <c r="E12" s="7">
        <v>63.864872683367629</v>
      </c>
      <c r="F12" s="7">
        <v>2.4800615101359619E-14</v>
      </c>
    </row>
    <row r="13" spans="1:9">
      <c r="A13" s="7" t="s">
        <v>132</v>
      </c>
      <c r="B13" s="7">
        <v>318</v>
      </c>
      <c r="C13" s="7">
        <v>2860654902513.7251</v>
      </c>
      <c r="D13" s="7">
        <v>8995770133.6909599</v>
      </c>
      <c r="E13" s="7"/>
      <c r="F13" s="7"/>
    </row>
    <row r="14" spans="1:9" ht="14.5" thickBot="1">
      <c r="A14" s="8" t="s">
        <v>133</v>
      </c>
      <c r="B14" s="8">
        <v>319</v>
      </c>
      <c r="C14" s="8">
        <v>3435168616790.7393</v>
      </c>
      <c r="D14" s="8"/>
      <c r="E14" s="8"/>
      <c r="F14" s="8"/>
    </row>
    <row r="15" spans="1:9" ht="14.5" thickBot="1"/>
    <row r="16" spans="1:9" ht="14.5">
      <c r="A16" s="9"/>
      <c r="B16" s="9" t="s">
        <v>140</v>
      </c>
      <c r="C16" s="9" t="s">
        <v>128</v>
      </c>
      <c r="D16" s="9" t="s">
        <v>141</v>
      </c>
      <c r="E16" s="9" t="s">
        <v>142</v>
      </c>
      <c r="F16" s="9" t="s">
        <v>143</v>
      </c>
      <c r="G16" s="9" t="s">
        <v>144</v>
      </c>
      <c r="H16" s="9" t="s">
        <v>145</v>
      </c>
      <c r="I16" s="9" t="s">
        <v>146</v>
      </c>
    </row>
    <row r="17" spans="1:9">
      <c r="A17" s="7" t="s">
        <v>134</v>
      </c>
      <c r="B17" s="7">
        <v>560777.34544943704</v>
      </c>
      <c r="C17" s="7">
        <v>15906.905953068674</v>
      </c>
      <c r="D17" s="7">
        <v>35.253703460870398</v>
      </c>
      <c r="E17" s="7">
        <v>6.952876876284135E-112</v>
      </c>
      <c r="F17" s="7">
        <v>529481.27234763221</v>
      </c>
      <c r="G17" s="7">
        <v>592073.41855124186</v>
      </c>
      <c r="H17" s="7">
        <v>529481.27234763221</v>
      </c>
      <c r="I17" s="7">
        <v>592073.41855124186</v>
      </c>
    </row>
    <row r="18" spans="1:9" ht="14.5" thickBot="1">
      <c r="A18" s="8" t="s">
        <v>147</v>
      </c>
      <c r="B18" s="8">
        <v>2.1295753275898281</v>
      </c>
      <c r="C18" s="8">
        <v>0.26647838106932348</v>
      </c>
      <c r="D18" s="8">
        <v>7.991550080138869</v>
      </c>
      <c r="E18" s="8">
        <v>2.4800615101360068E-14</v>
      </c>
      <c r="F18" s="8">
        <v>1.6052919176921738</v>
      </c>
      <c r="G18" s="8">
        <v>2.6538587374874822</v>
      </c>
      <c r="H18" s="8">
        <v>1.6052919176921738</v>
      </c>
      <c r="I18" s="8">
        <v>2.6538587374874822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165F-8275-4217-8A43-70ED2E7FC5D4}">
  <dimension ref="A1:I18"/>
  <sheetViews>
    <sheetView workbookViewId="0">
      <selection activeCell="D20" sqref="D20"/>
    </sheetView>
  </sheetViews>
  <sheetFormatPr defaultRowHeight="14"/>
  <cols>
    <col min="1" max="1" width="19.83203125" customWidth="1"/>
    <col min="2" max="2" width="12.58203125" customWidth="1"/>
    <col min="3" max="3" width="10.75" customWidth="1"/>
    <col min="6" max="6" width="12.9140625" customWidth="1"/>
  </cols>
  <sheetData>
    <row r="1" spans="1:9">
      <c r="A1" t="s">
        <v>123</v>
      </c>
    </row>
    <row r="2" spans="1:9" ht="14.5" thickBot="1"/>
    <row r="3" spans="1:9" ht="14.5">
      <c r="A3" s="10" t="s">
        <v>124</v>
      </c>
      <c r="B3" s="10"/>
    </row>
    <row r="4" spans="1:9">
      <c r="A4" s="7" t="s">
        <v>125</v>
      </c>
      <c r="B4" s="7">
        <v>0.85807070804410468</v>
      </c>
    </row>
    <row r="5" spans="1:9">
      <c r="A5" s="7" t="s">
        <v>126</v>
      </c>
      <c r="B5" s="7">
        <v>0.73628534000331114</v>
      </c>
    </row>
    <row r="6" spans="1:9">
      <c r="A6" s="7" t="s">
        <v>127</v>
      </c>
      <c r="B6" s="7">
        <v>0.73545604861967373</v>
      </c>
    </row>
    <row r="7" spans="1:9">
      <c r="A7" s="7" t="s">
        <v>128</v>
      </c>
      <c r="B7" s="7">
        <v>53373.736380790499</v>
      </c>
    </row>
    <row r="8" spans="1:9" ht="14.5" thickBot="1">
      <c r="A8" s="8" t="s">
        <v>129</v>
      </c>
      <c r="B8" s="8">
        <v>320</v>
      </c>
    </row>
    <row r="10" spans="1:9" ht="14.5" thickBot="1">
      <c r="A10" t="s">
        <v>130</v>
      </c>
    </row>
    <row r="11" spans="1:9" ht="14.5">
      <c r="A11" s="9"/>
      <c r="B11" s="9" t="s">
        <v>135</v>
      </c>
      <c r="C11" s="9" t="s">
        <v>136</v>
      </c>
      <c r="D11" s="9" t="s">
        <v>137</v>
      </c>
      <c r="E11" s="9" t="s">
        <v>138</v>
      </c>
      <c r="F11" s="9" t="s">
        <v>139</v>
      </c>
    </row>
    <row r="12" spans="1:9">
      <c r="A12" s="7" t="s">
        <v>131</v>
      </c>
      <c r="B12" s="7">
        <v>1</v>
      </c>
      <c r="C12" s="7">
        <v>2529264292982.4736</v>
      </c>
      <c r="D12" s="7">
        <v>2529264292982.4736</v>
      </c>
      <c r="E12" s="7">
        <v>887.84877611276033</v>
      </c>
      <c r="F12" s="7">
        <v>4.7503615090053331E-94</v>
      </c>
    </row>
    <row r="13" spans="1:9">
      <c r="A13" s="7" t="s">
        <v>132</v>
      </c>
      <c r="B13" s="7">
        <v>318</v>
      </c>
      <c r="C13" s="7">
        <v>905904323808.26587</v>
      </c>
      <c r="D13" s="7">
        <v>2848755735.246119</v>
      </c>
      <c r="E13" s="7"/>
      <c r="F13" s="7"/>
    </row>
    <row r="14" spans="1:9" ht="14.5" thickBot="1">
      <c r="A14" s="8" t="s">
        <v>133</v>
      </c>
      <c r="B14" s="8">
        <v>319</v>
      </c>
      <c r="C14" s="8">
        <v>3435168616790.7393</v>
      </c>
      <c r="D14" s="8"/>
      <c r="E14" s="8"/>
      <c r="F14" s="8"/>
    </row>
    <row r="15" spans="1:9" ht="14.5" thickBot="1"/>
    <row r="16" spans="1:9" ht="14.5">
      <c r="A16" s="9"/>
      <c r="B16" s="9" t="s">
        <v>140</v>
      </c>
      <c r="C16" s="9" t="s">
        <v>128</v>
      </c>
      <c r="D16" s="9" t="s">
        <v>141</v>
      </c>
      <c r="E16" s="9" t="s">
        <v>142</v>
      </c>
      <c r="F16" s="9" t="s">
        <v>143</v>
      </c>
      <c r="G16" s="9" t="s">
        <v>144</v>
      </c>
      <c r="H16" s="9" t="s">
        <v>145</v>
      </c>
      <c r="I16" s="9" t="s">
        <v>146</v>
      </c>
    </row>
    <row r="17" spans="1:9">
      <c r="A17" s="7" t="s">
        <v>134</v>
      </c>
      <c r="B17" s="7">
        <v>446410.58293395344</v>
      </c>
      <c r="C17" s="7">
        <v>8407.7382630059928</v>
      </c>
      <c r="D17" s="7">
        <v>53.095204556754318</v>
      </c>
      <c r="E17" s="7">
        <v>4.0862695711507226E-160</v>
      </c>
      <c r="F17" s="7">
        <v>429868.76191129786</v>
      </c>
      <c r="G17" s="7">
        <v>462952.40395660902</v>
      </c>
      <c r="H17" s="7">
        <v>429868.76191129786</v>
      </c>
      <c r="I17" s="7">
        <v>462952.40395660902</v>
      </c>
    </row>
    <row r="18" spans="1:9" ht="14.5" thickBot="1">
      <c r="A18" s="8" t="s">
        <v>147</v>
      </c>
      <c r="B18" s="8">
        <v>35.678031072640458</v>
      </c>
      <c r="C18" s="8">
        <v>1.1973782890340821</v>
      </c>
      <c r="D18" s="8">
        <v>29.796791372776362</v>
      </c>
      <c r="E18" s="8">
        <v>4.7503615090054677E-94</v>
      </c>
      <c r="F18" s="8">
        <v>33.322246825554025</v>
      </c>
      <c r="G18" s="8">
        <v>38.033815319726891</v>
      </c>
      <c r="H18" s="8">
        <v>33.322246825554025</v>
      </c>
      <c r="I18" s="8">
        <v>38.033815319726891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102</v>
      </c>
      <c r="B1" s="1" t="s">
        <v>103</v>
      </c>
    </row>
    <row r="2" spans="1:2">
      <c r="A2" s="6" t="s">
        <v>0</v>
      </c>
      <c r="B2" s="6" t="s">
        <v>104</v>
      </c>
    </row>
    <row r="3" spans="1:2">
      <c r="A3" s="6" t="s">
        <v>1</v>
      </c>
      <c r="B3" s="6" t="s">
        <v>105</v>
      </c>
    </row>
    <row r="4" spans="1:2">
      <c r="A4" s="6" t="s">
        <v>2</v>
      </c>
      <c r="B4" s="6" t="s">
        <v>106</v>
      </c>
    </row>
    <row r="5" spans="1:2" ht="28">
      <c r="A5" s="6" t="s">
        <v>3</v>
      </c>
      <c r="B5" s="6" t="s">
        <v>107</v>
      </c>
    </row>
    <row r="6" spans="1:2" ht="28">
      <c r="A6" s="6" t="s">
        <v>4</v>
      </c>
      <c r="B6" s="6" t="s">
        <v>108</v>
      </c>
    </row>
    <row r="7" spans="1:2">
      <c r="A7" s="6" t="s">
        <v>5</v>
      </c>
      <c r="B7" s="6" t="s">
        <v>109</v>
      </c>
    </row>
    <row r="8" spans="1:2" ht="28">
      <c r="A8" s="6" t="s">
        <v>6</v>
      </c>
      <c r="B8" s="6" t="s">
        <v>110</v>
      </c>
    </row>
    <row r="9" spans="1:2">
      <c r="A9" s="6" t="s">
        <v>7</v>
      </c>
      <c r="B9" s="6" t="s">
        <v>111</v>
      </c>
    </row>
    <row r="10" spans="1:2" ht="28">
      <c r="A10" s="6" t="s">
        <v>8</v>
      </c>
      <c r="B10" s="6" t="s">
        <v>112</v>
      </c>
    </row>
    <row r="11" spans="1:2">
      <c r="A11" s="6" t="s">
        <v>9</v>
      </c>
      <c r="B11" s="6" t="s">
        <v>113</v>
      </c>
    </row>
    <row r="12" spans="1:2" ht="42">
      <c r="A12" s="6" t="s">
        <v>10</v>
      </c>
      <c r="B12" s="6" t="s">
        <v>114</v>
      </c>
    </row>
    <row r="13" spans="1:2">
      <c r="A13" s="6" t="s">
        <v>11</v>
      </c>
      <c r="B13" s="6" t="s">
        <v>115</v>
      </c>
    </row>
    <row r="14" spans="1:2" ht="28">
      <c r="A14" s="6" t="s">
        <v>12</v>
      </c>
      <c r="B14" s="6" t="s">
        <v>116</v>
      </c>
    </row>
    <row r="15" spans="1:2" ht="28">
      <c r="A15" s="6" t="s">
        <v>13</v>
      </c>
      <c r="B15" s="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Predictions</vt:lpstr>
      <vt:lpstr>store_performance</vt:lpstr>
      <vt:lpstr>Multiple Regression Model</vt:lpstr>
      <vt:lpstr>Simple regression outputs 1</vt:lpstr>
      <vt:lpstr>Simple Regression Model 2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2026-06-28T12:50:17Z</dcterms:modified>
</cp:coreProperties>
</file>